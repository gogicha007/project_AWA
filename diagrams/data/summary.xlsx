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project_man\diagrams\data\"/>
    </mc:Choice>
  </mc:AlternateContent>
  <xr:revisionPtr revIDLastSave="0" documentId="13_ncr:1_{DE1A58B1-8DDD-4568-A1B1-0747E1C5AE8E}" xr6:coauthVersionLast="47" xr6:coauthVersionMax="47" xr10:uidLastSave="{00000000-0000-0000-0000-000000000000}"/>
  <bookViews>
    <workbookView xWindow="-120" yWindow="-120" windowWidth="29040" windowHeight="15720" xr2:uid="{6F3B1BDB-FDD0-4DEA-AAEE-1C8740F23487}"/>
  </bookViews>
  <sheets>
    <sheet name="Summary" sheetId="1" r:id="rId1"/>
  </sheets>
  <externalReferences>
    <externalReference r:id="rId2"/>
  </externalReferences>
  <definedNames>
    <definedName name="_xlnm.Print_Area" localSheetId="0">Summary!$C$1:$G$49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F43" i="1"/>
  <c r="F42" i="1"/>
  <c r="E39" i="1"/>
  <c r="E36" i="1"/>
  <c r="E33" i="1"/>
  <c r="E28" i="1"/>
  <c r="E27" i="1"/>
  <c r="E25" i="1"/>
  <c r="E24" i="1"/>
  <c r="E23" i="1"/>
  <c r="E22" i="1"/>
  <c r="E21" i="1"/>
  <c r="E20" i="1"/>
  <c r="E19" i="1"/>
  <c r="E18" i="1"/>
  <c r="E17" i="1"/>
  <c r="E16" i="1"/>
  <c r="E14" i="1"/>
  <c r="E13" i="1"/>
  <c r="E12" i="1"/>
  <c r="E11" i="1"/>
  <c r="E10" i="1"/>
  <c r="E9" i="1"/>
  <c r="E8" i="1"/>
  <c r="E7" i="1"/>
  <c r="E6" i="1"/>
  <c r="E30" i="1" l="1"/>
  <c r="E41" i="1" s="1"/>
  <c r="E43" i="1" s="1"/>
  <c r="E42" i="1" l="1"/>
  <c r="E46" i="1" s="1"/>
</calcChain>
</file>

<file path=xl/sharedStrings.xml><?xml version="1.0" encoding="utf-8"?>
<sst xmlns="http://schemas.openxmlformats.org/spreadsheetml/2006/main" count="74" uniqueCount="68">
  <si>
    <t>WS01</t>
  </si>
  <si>
    <t>WS02</t>
  </si>
  <si>
    <t>WS03</t>
  </si>
  <si>
    <t>WS04</t>
  </si>
  <si>
    <t>WS05</t>
  </si>
  <si>
    <t>WS06</t>
  </si>
  <si>
    <t xml:space="preserve">WS07 </t>
  </si>
  <si>
    <t>WS08</t>
  </si>
  <si>
    <t>WS09</t>
  </si>
  <si>
    <t>WW01</t>
  </si>
  <si>
    <t>WW02</t>
  </si>
  <si>
    <t>WW03</t>
  </si>
  <si>
    <t>WW04</t>
  </si>
  <si>
    <t>WW05</t>
  </si>
  <si>
    <t>WW06</t>
  </si>
  <si>
    <t>WW07</t>
  </si>
  <si>
    <t>WW08</t>
  </si>
  <si>
    <t xml:space="preserve">WW09 </t>
  </si>
  <si>
    <t xml:space="preserve">WW10 </t>
  </si>
  <si>
    <t>WSSP</t>
  </si>
  <si>
    <t>WWSP</t>
  </si>
  <si>
    <t>j</t>
  </si>
  <si>
    <t>Total BoQ (Excluding Optional Villages)</t>
  </si>
  <si>
    <t>A</t>
  </si>
  <si>
    <t>Gen, Prelim &amp; ESHS</t>
  </si>
  <si>
    <t>B</t>
  </si>
  <si>
    <t>PS</t>
  </si>
  <si>
    <t>C</t>
  </si>
  <si>
    <t>DW</t>
  </si>
  <si>
    <t>D</t>
  </si>
  <si>
    <t>E = A + B</t>
  </si>
  <si>
    <t>H</t>
  </si>
  <si>
    <t>I</t>
  </si>
  <si>
    <t>J = F + H + I</t>
  </si>
  <si>
    <t>Lower Vashlovani</t>
  </si>
  <si>
    <t xml:space="preserve">Okruashvilebi &amp; Duadzeebi </t>
  </si>
  <si>
    <t>Tkhiladziri &amp; Dekanashvilebi</t>
  </si>
  <si>
    <t>Upper Dekanashvilebi</t>
  </si>
  <si>
    <t>Dzirkvadzeebi</t>
  </si>
  <si>
    <t xml:space="preserve">Description of the work </t>
  </si>
  <si>
    <t>Item#</t>
  </si>
  <si>
    <t>Water Supply Systems</t>
  </si>
  <si>
    <t>Ganakhleba</t>
  </si>
  <si>
    <t>Gurdzauli</t>
  </si>
  <si>
    <t xml:space="preserve">Dzmagula </t>
  </si>
  <si>
    <t>Dioknisi</t>
  </si>
  <si>
    <t>Sanitation Systems</t>
  </si>
  <si>
    <t>Okruashvilebi &amp; Duadzeebi</t>
  </si>
  <si>
    <t>Dekanashvilebi</t>
  </si>
  <si>
    <t>Tkhiladziri</t>
  </si>
  <si>
    <t>Dzmagula</t>
  </si>
  <si>
    <t>Spare Parts</t>
  </si>
  <si>
    <t>Water Supply Spare Parts</t>
  </si>
  <si>
    <t>Sanitation Surplus Equipment</t>
  </si>
  <si>
    <t xml:space="preserve">Schedule of Lump Sums </t>
  </si>
  <si>
    <t>Schedule 1: General, Preliminary &amp; ESHS items for all Works of LOT 2A</t>
  </si>
  <si>
    <t>Schedule of Provisional Sums</t>
  </si>
  <si>
    <t xml:space="preserve">Schedule 2: Provisional Sums for all Works of LOT 2A </t>
  </si>
  <si>
    <t xml:space="preserve">Schedule of Dayworks </t>
  </si>
  <si>
    <t xml:space="preserve">Schedule 3: Dayworks for all Works of LOT 2A </t>
  </si>
  <si>
    <t>Total price (EUR)</t>
  </si>
  <si>
    <t>Total BoQ and Lump Sums</t>
  </si>
  <si>
    <t xml:space="preserve">Total Passing Forward to Tender Form (includes Provisional Sums) </t>
  </si>
  <si>
    <t xml:space="preserve">Total for bid comparison (includes Dayworks but excludes Provisional Sums) </t>
  </si>
  <si>
    <t>Taxes, fees, levies, other charges applicable in Employer´s country</t>
  </si>
  <si>
    <t xml:space="preserve">Total amount LOT 2A, including duties, taxes, etc. </t>
  </si>
  <si>
    <t>Signed by Empowered Representative ___________  [name                                             ]     Date__________</t>
  </si>
  <si>
    <t>Import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</si>
</sst>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1"/>
      <scheme val="minor"/>
    </font>
    <font>
      <b/>
      <u/>
      <sz val="18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4" fontId="0" fillId="0" borderId="8" xfId="0" applyNumberFormat="1" applyBorder="1" applyAlignment="1">
      <alignment horizontal="center" vertical="center"/>
    </xf>
    <xf numFmtId="2" fontId="0" fillId="0" borderId="0" xfId="0" applyNumberFormat="1"/>
    <xf numFmtId="1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4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4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vertical="top" wrapText="1"/>
    </xf>
    <xf numFmtId="1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4" fontId="0" fillId="0" borderId="19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right" vertical="top" wrapText="1"/>
    </xf>
    <xf numFmtId="4" fontId="3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1" fontId="0" fillId="0" borderId="20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4" fontId="3" fillId="0" borderId="2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vertical="top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right" wrapText="1"/>
    </xf>
    <xf numFmtId="164" fontId="0" fillId="0" borderId="8" xfId="0" applyNumberFormat="1" applyBorder="1"/>
    <xf numFmtId="0" fontId="3" fillId="0" borderId="0" xfId="0" applyFont="1" applyAlignment="1">
      <alignment horizontal="left"/>
    </xf>
    <xf numFmtId="4" fontId="0" fillId="0" borderId="0" xfId="0" applyNumberFormat="1"/>
    <xf numFmtId="0" fontId="3" fillId="0" borderId="9" xfId="0" applyFont="1" applyBorder="1" applyAlignment="1">
      <alignment horizontal="right" vertical="top" wrapText="1"/>
    </xf>
    <xf numFmtId="164" fontId="3" fillId="0" borderId="23" xfId="0" applyNumberFormat="1" applyFont="1" applyBorder="1"/>
    <xf numFmtId="164" fontId="0" fillId="0" borderId="0" xfId="0" applyNumberFormat="1"/>
    <xf numFmtId="0" fontId="0" fillId="0" borderId="9" xfId="0" applyBorder="1" applyAlignment="1">
      <alignment horizontal="right" vertical="top" wrapText="1"/>
    </xf>
    <xf numFmtId="164" fontId="0" fillId="0" borderId="23" xfId="0" applyNumberFormat="1" applyBorder="1"/>
    <xf numFmtId="0" fontId="0" fillId="0" borderId="9" xfId="0" applyBorder="1" applyAlignment="1">
      <alignment horizontal="right" wrapText="1"/>
    </xf>
    <xf numFmtId="164" fontId="0" fillId="2" borderId="23" xfId="0" applyNumberFormat="1" applyFill="1" applyBorder="1" applyProtection="1">
      <protection locked="0"/>
    </xf>
    <xf numFmtId="0" fontId="3" fillId="0" borderId="9" xfId="0" applyFont="1" applyBorder="1" applyAlignment="1">
      <alignment horizontal="right" wrapText="1"/>
    </xf>
    <xf numFmtId="43" fontId="3" fillId="0" borderId="23" xfId="0" applyNumberFormat="1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RAKLI\Temp\project_awa\Vol2.2_BoQ_LOT_2A_Version%20G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ummary"/>
      <sheetName val="Gen,Prelim&amp;ESHS"/>
      <sheetName val="WS01"/>
      <sheetName val="WS02"/>
      <sheetName val="WS03"/>
      <sheetName val="WS04"/>
      <sheetName val="WS05"/>
      <sheetName val="WS06"/>
      <sheetName val="WS07"/>
      <sheetName val="WS08"/>
      <sheetName val="WS09"/>
      <sheetName val="WSSUM"/>
      <sheetName val="WSSP"/>
      <sheetName val="Inf._stream_int."/>
      <sheetName val="R50"/>
      <sheetName val="R100"/>
      <sheetName val="R200"/>
      <sheetName val="WW01"/>
      <sheetName val="WW02"/>
      <sheetName val="WW03"/>
      <sheetName val="WW04"/>
      <sheetName val="WW05"/>
      <sheetName val="WW06"/>
      <sheetName val="WW07"/>
      <sheetName val="WW08"/>
      <sheetName val="WW09"/>
      <sheetName val="WW10"/>
      <sheetName val="WWSUM"/>
      <sheetName val="WWSP"/>
      <sheetName val="ST20"/>
      <sheetName val="ST30"/>
      <sheetName val="ST100"/>
      <sheetName val="DW"/>
      <sheetName val="PS"/>
    </sheetNames>
    <sheetDataSet>
      <sheetData sheetId="0">
        <row r="8">
          <cell r="A8" t="str">
            <v>€ (EUR)</v>
          </cell>
        </row>
      </sheetData>
      <sheetData sheetId="1"/>
      <sheetData sheetId="2">
        <row r="15">
          <cell r="G15">
            <v>353000</v>
          </cell>
        </row>
        <row r="33">
          <cell r="G33">
            <v>294500</v>
          </cell>
        </row>
      </sheetData>
      <sheetData sheetId="3">
        <row r="2">
          <cell r="H2">
            <v>1139540.8600000001</v>
          </cell>
        </row>
      </sheetData>
      <sheetData sheetId="4">
        <row r="2">
          <cell r="H2">
            <v>1099146</v>
          </cell>
        </row>
      </sheetData>
      <sheetData sheetId="5">
        <row r="2">
          <cell r="H2">
            <v>447456.86</v>
          </cell>
        </row>
      </sheetData>
      <sheetData sheetId="6">
        <row r="2">
          <cell r="H2">
            <v>102882</v>
          </cell>
        </row>
      </sheetData>
      <sheetData sheetId="7">
        <row r="3">
          <cell r="H3">
            <v>870614.96</v>
          </cell>
        </row>
      </sheetData>
      <sheetData sheetId="8">
        <row r="2">
          <cell r="H2">
            <v>294347</v>
          </cell>
        </row>
      </sheetData>
      <sheetData sheetId="9">
        <row r="2">
          <cell r="H2">
            <v>462607.9</v>
          </cell>
        </row>
      </sheetData>
      <sheetData sheetId="10">
        <row r="2">
          <cell r="H2">
            <v>455284.9</v>
          </cell>
        </row>
      </sheetData>
      <sheetData sheetId="11">
        <row r="2">
          <cell r="H2">
            <v>361045.35</v>
          </cell>
        </row>
      </sheetData>
      <sheetData sheetId="12"/>
      <sheetData sheetId="13">
        <row r="2">
          <cell r="H2">
            <v>109482.4</v>
          </cell>
        </row>
      </sheetData>
      <sheetData sheetId="14"/>
      <sheetData sheetId="15"/>
      <sheetData sheetId="16"/>
      <sheetData sheetId="17"/>
      <sheetData sheetId="18">
        <row r="2">
          <cell r="H2">
            <v>993412.3</v>
          </cell>
        </row>
      </sheetData>
      <sheetData sheetId="19">
        <row r="2">
          <cell r="H2">
            <v>838035.5</v>
          </cell>
        </row>
      </sheetData>
      <sheetData sheetId="20">
        <row r="2">
          <cell r="H2">
            <v>200641.44</v>
          </cell>
        </row>
      </sheetData>
      <sheetData sheetId="21">
        <row r="2">
          <cell r="H2">
            <v>417873.94</v>
          </cell>
        </row>
      </sheetData>
      <sheetData sheetId="22">
        <row r="2">
          <cell r="H2">
            <v>146870.72</v>
          </cell>
        </row>
      </sheetData>
      <sheetData sheetId="23">
        <row r="2">
          <cell r="H2">
            <v>336462.88</v>
          </cell>
        </row>
      </sheetData>
      <sheetData sheetId="24">
        <row r="2">
          <cell r="H2">
            <v>241536.44</v>
          </cell>
        </row>
      </sheetData>
      <sheetData sheetId="25">
        <row r="2">
          <cell r="H2">
            <v>376304.32</v>
          </cell>
        </row>
      </sheetData>
      <sheetData sheetId="26">
        <row r="2">
          <cell r="H2">
            <v>196787.88</v>
          </cell>
        </row>
      </sheetData>
      <sheetData sheetId="27">
        <row r="2">
          <cell r="H2">
            <v>88960</v>
          </cell>
        </row>
      </sheetData>
      <sheetData sheetId="28"/>
      <sheetData sheetId="29">
        <row r="2">
          <cell r="H2">
            <v>37700</v>
          </cell>
        </row>
      </sheetData>
      <sheetData sheetId="30"/>
      <sheetData sheetId="31"/>
      <sheetData sheetId="32"/>
      <sheetData sheetId="33">
        <row r="2">
          <cell r="H2">
            <v>1185575</v>
          </cell>
        </row>
      </sheetData>
      <sheetData sheetId="34">
        <row r="2">
          <cell r="E2">
            <v>260000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5CA6-87A6-4373-90F1-16FC391DA08B}">
  <sheetPr>
    <pageSetUpPr fitToPage="1"/>
  </sheetPr>
  <dimension ref="A2:H48"/>
  <sheetViews>
    <sheetView showGridLines="0" tabSelected="1" view="pageBreakPreview" topLeftCell="B1" zoomScaleNormal="100" zoomScaleSheetLayoutView="100" zoomScalePageLayoutView="70" workbookViewId="0">
      <pane ySplit="4" topLeftCell="A26" activePane="bottomLeft" state="frozen"/>
      <selection activeCell="C63" sqref="C63"/>
      <selection pane="bottomLeft" activeCell="E30" activeCellId="3" sqref="E39 E36 E33 E30"/>
    </sheetView>
  </sheetViews>
  <sheetFormatPr defaultColWidth="8.85546875" defaultRowHeight="15" x14ac:dyDescent="0.25"/>
  <cols>
    <col min="1" max="2" width="2.85546875" customWidth="1"/>
    <col min="3" max="3" width="10.5703125" customWidth="1"/>
    <col min="4" max="4" width="42.42578125" customWidth="1"/>
    <col min="5" max="5" width="20.5703125" customWidth="1"/>
    <col min="6" max="6" width="14.5703125" customWidth="1"/>
    <col min="7" max="7" width="14.42578125" customWidth="1"/>
    <col min="8" max="8" width="13.42578125" customWidth="1"/>
  </cols>
  <sheetData>
    <row r="2" spans="3:8" ht="23.25" x14ac:dyDescent="0.35">
      <c r="C2" s="52" t="str">
        <f>"Bill of Quantity LOT 2A Summary Page"</f>
        <v>Bill of Quantity LOT 2A Summary Page</v>
      </c>
      <c r="D2" s="53"/>
      <c r="E2" s="53"/>
    </row>
    <row r="3" spans="3:8" ht="24" thickBot="1" x14ac:dyDescent="0.4">
      <c r="C3" s="54"/>
      <c r="D3" s="54"/>
      <c r="E3" s="54"/>
    </row>
    <row r="4" spans="3:8" ht="42.6" customHeight="1" thickBot="1" x14ac:dyDescent="0.3">
      <c r="C4" s="1" t="s">
        <v>40</v>
      </c>
      <c r="D4" s="2" t="s">
        <v>39</v>
      </c>
      <c r="E4" s="3" t="s">
        <v>60</v>
      </c>
    </row>
    <row r="5" spans="3:8" ht="15.75" thickBot="1" x14ac:dyDescent="0.3">
      <c r="C5" s="55" t="s">
        <v>41</v>
      </c>
      <c r="D5" s="56"/>
      <c r="E5" s="57"/>
    </row>
    <row r="6" spans="3:8" x14ac:dyDescent="0.25">
      <c r="C6" s="4" t="s">
        <v>0</v>
      </c>
      <c r="D6" s="5" t="s">
        <v>34</v>
      </c>
      <c r="E6" s="6">
        <f>[1]WS01!H2</f>
        <v>1139540.8600000001</v>
      </c>
      <c r="H6" s="7"/>
    </row>
    <row r="7" spans="3:8" x14ac:dyDescent="0.25">
      <c r="C7" s="8" t="s">
        <v>1</v>
      </c>
      <c r="D7" s="9" t="s">
        <v>35</v>
      </c>
      <c r="E7" s="10">
        <f>[1]WS02!H2</f>
        <v>1099146</v>
      </c>
      <c r="H7" s="7"/>
    </row>
    <row r="8" spans="3:8" x14ac:dyDescent="0.25">
      <c r="C8" s="8" t="s">
        <v>2</v>
      </c>
      <c r="D8" s="9" t="s">
        <v>36</v>
      </c>
      <c r="E8" s="10">
        <f>[1]WS03!H2</f>
        <v>447456.86</v>
      </c>
      <c r="H8" s="7"/>
    </row>
    <row r="9" spans="3:8" ht="14.45" customHeight="1" x14ac:dyDescent="0.25">
      <c r="C9" s="8" t="s">
        <v>3</v>
      </c>
      <c r="D9" s="9" t="s">
        <v>37</v>
      </c>
      <c r="E9" s="10">
        <f>[1]WS04!H2</f>
        <v>102882</v>
      </c>
      <c r="H9" s="7"/>
    </row>
    <row r="10" spans="3:8" x14ac:dyDescent="0.25">
      <c r="C10" s="8" t="s">
        <v>4</v>
      </c>
      <c r="D10" s="9" t="s">
        <v>38</v>
      </c>
      <c r="E10" s="10">
        <f>[1]WS05!H3</f>
        <v>870614.96</v>
      </c>
      <c r="H10" s="7"/>
    </row>
    <row r="11" spans="3:8" x14ac:dyDescent="0.25">
      <c r="C11" s="8" t="s">
        <v>5</v>
      </c>
      <c r="D11" s="9" t="s">
        <v>42</v>
      </c>
      <c r="E11" s="10">
        <f>[1]WS06!H2</f>
        <v>294347</v>
      </c>
      <c r="H11" s="7"/>
    </row>
    <row r="12" spans="3:8" x14ac:dyDescent="0.25">
      <c r="C12" s="8" t="s">
        <v>6</v>
      </c>
      <c r="D12" s="9" t="s">
        <v>43</v>
      </c>
      <c r="E12" s="10">
        <f>[1]WS07!H2</f>
        <v>462607.9</v>
      </c>
      <c r="H12" s="7"/>
    </row>
    <row r="13" spans="3:8" x14ac:dyDescent="0.25">
      <c r="C13" s="8" t="s">
        <v>7</v>
      </c>
      <c r="D13" s="9" t="s">
        <v>44</v>
      </c>
      <c r="E13" s="10">
        <f>[1]WS08!H2</f>
        <v>455284.9</v>
      </c>
      <c r="H13" s="7"/>
    </row>
    <row r="14" spans="3:8" ht="15.75" thickBot="1" x14ac:dyDescent="0.3">
      <c r="C14" s="11" t="s">
        <v>8</v>
      </c>
      <c r="D14" s="12" t="s">
        <v>45</v>
      </c>
      <c r="E14" s="13">
        <f>[1]WS09!H2</f>
        <v>361045.35</v>
      </c>
      <c r="H14" s="7"/>
    </row>
    <row r="15" spans="3:8" ht="15.75" thickBot="1" x14ac:dyDescent="0.3">
      <c r="C15" s="55" t="s">
        <v>46</v>
      </c>
      <c r="D15" s="56"/>
      <c r="E15" s="57"/>
    </row>
    <row r="16" spans="3:8" x14ac:dyDescent="0.25">
      <c r="C16" s="14" t="s">
        <v>9</v>
      </c>
      <c r="D16" s="5" t="s">
        <v>34</v>
      </c>
      <c r="E16" s="10">
        <f>[1]WW01!H2</f>
        <v>993412.3</v>
      </c>
      <c r="H16" s="7"/>
    </row>
    <row r="17" spans="1:8" x14ac:dyDescent="0.25">
      <c r="C17" s="8" t="s">
        <v>10</v>
      </c>
      <c r="D17" s="9" t="s">
        <v>47</v>
      </c>
      <c r="E17" s="10">
        <f>[1]WW02!H2</f>
        <v>838035.5</v>
      </c>
      <c r="H17" s="7"/>
    </row>
    <row r="18" spans="1:8" x14ac:dyDescent="0.25">
      <c r="C18" s="8" t="s">
        <v>11</v>
      </c>
      <c r="D18" s="9" t="s">
        <v>48</v>
      </c>
      <c r="E18" s="10">
        <f>[1]WW03!H2</f>
        <v>200641.44</v>
      </c>
      <c r="H18" s="7"/>
    </row>
    <row r="19" spans="1:8" x14ac:dyDescent="0.25">
      <c r="C19" s="8" t="s">
        <v>12</v>
      </c>
      <c r="D19" s="9" t="s">
        <v>38</v>
      </c>
      <c r="E19" s="10">
        <f>[1]WW04!H2</f>
        <v>417873.94</v>
      </c>
      <c r="H19" s="7"/>
    </row>
    <row r="20" spans="1:8" ht="14.45" customHeight="1" x14ac:dyDescent="0.25">
      <c r="C20" s="8" t="s">
        <v>13</v>
      </c>
      <c r="D20" s="9" t="s">
        <v>37</v>
      </c>
      <c r="E20" s="10">
        <f>[1]WW05!H2</f>
        <v>146870.72</v>
      </c>
      <c r="H20" s="7"/>
    </row>
    <row r="21" spans="1:8" x14ac:dyDescent="0.25">
      <c r="C21" s="8" t="s">
        <v>14</v>
      </c>
      <c r="D21" s="9" t="s">
        <v>42</v>
      </c>
      <c r="E21" s="10">
        <f>[1]WW06!H2</f>
        <v>336462.88</v>
      </c>
      <c r="H21" s="7"/>
    </row>
    <row r="22" spans="1:8" x14ac:dyDescent="0.25">
      <c r="C22" s="8" t="s">
        <v>15</v>
      </c>
      <c r="D22" s="9" t="s">
        <v>49</v>
      </c>
      <c r="E22" s="10">
        <f>[1]WW07!H2</f>
        <v>241536.44</v>
      </c>
      <c r="H22" s="7"/>
    </row>
    <row r="23" spans="1:8" x14ac:dyDescent="0.25">
      <c r="C23" s="8" t="s">
        <v>16</v>
      </c>
      <c r="D23" s="12" t="s">
        <v>45</v>
      </c>
      <c r="E23" s="10">
        <f>[1]WW08!H2</f>
        <v>376304.32</v>
      </c>
      <c r="H23" s="7"/>
    </row>
    <row r="24" spans="1:8" x14ac:dyDescent="0.25">
      <c r="C24" s="8" t="s">
        <v>17</v>
      </c>
      <c r="D24" s="9" t="s">
        <v>50</v>
      </c>
      <c r="E24" s="10">
        <f>[1]WW09!H2</f>
        <v>196787.88</v>
      </c>
      <c r="H24" s="7"/>
    </row>
    <row r="25" spans="1:8" ht="15.75" thickBot="1" x14ac:dyDescent="0.3">
      <c r="C25" s="11" t="s">
        <v>18</v>
      </c>
      <c r="D25" s="9" t="s">
        <v>43</v>
      </c>
      <c r="E25" s="13">
        <f>[1]WW10!H2</f>
        <v>88960</v>
      </c>
      <c r="H25" s="7"/>
    </row>
    <row r="26" spans="1:8" ht="15.75" thickBot="1" x14ac:dyDescent="0.3">
      <c r="C26" s="55" t="s">
        <v>51</v>
      </c>
      <c r="D26" s="56"/>
      <c r="E26" s="57"/>
    </row>
    <row r="27" spans="1:8" x14ac:dyDescent="0.25">
      <c r="C27" s="14" t="s">
        <v>19</v>
      </c>
      <c r="D27" s="15" t="s">
        <v>52</v>
      </c>
      <c r="E27" s="10">
        <f>[1]WSSP!H2</f>
        <v>109482.4</v>
      </c>
    </row>
    <row r="28" spans="1:8" ht="15.75" thickBot="1" x14ac:dyDescent="0.3">
      <c r="C28" s="16" t="s">
        <v>20</v>
      </c>
      <c r="D28" s="17" t="s">
        <v>53</v>
      </c>
      <c r="E28" s="18">
        <f>[1]WWSP!H2</f>
        <v>37700</v>
      </c>
    </row>
    <row r="29" spans="1:8" x14ac:dyDescent="0.25">
      <c r="A29" t="s">
        <v>21</v>
      </c>
      <c r="D29" s="19"/>
      <c r="E29" s="20"/>
    </row>
    <row r="30" spans="1:8" x14ac:dyDescent="0.25">
      <c r="D30" s="21" t="s">
        <v>22</v>
      </c>
      <c r="E30" s="22">
        <f>SUM(E6:E29)</f>
        <v>9216993.6500000022</v>
      </c>
      <c r="F30" s="23" t="s">
        <v>23</v>
      </c>
    </row>
    <row r="31" spans="1:8" x14ac:dyDescent="0.25">
      <c r="D31" s="24"/>
      <c r="E31" s="22"/>
      <c r="F31" s="25"/>
    </row>
    <row r="32" spans="1:8" ht="24.95" customHeight="1" thickBot="1" x14ac:dyDescent="0.35">
      <c r="C32" s="50" t="s">
        <v>54</v>
      </c>
      <c r="D32" s="51"/>
      <c r="E32" s="51"/>
      <c r="F32" s="25"/>
    </row>
    <row r="33" spans="3:7" ht="56.45" customHeight="1" thickBot="1" x14ac:dyDescent="0.3">
      <c r="C33" s="26" t="s">
        <v>24</v>
      </c>
      <c r="D33" s="27" t="s">
        <v>55</v>
      </c>
      <c r="E33" s="28">
        <f>'[1]Gen,Prelim&amp;ESHS'!$G$15+'[1]Gen,Prelim&amp;ESHS'!$G$33</f>
        <v>647500</v>
      </c>
      <c r="F33" s="23" t="s">
        <v>25</v>
      </c>
    </row>
    <row r="34" spans="3:7" x14ac:dyDescent="0.25">
      <c r="C34" s="29"/>
      <c r="D34" s="30"/>
      <c r="E34" s="31"/>
      <c r="F34" s="25"/>
    </row>
    <row r="35" spans="3:7" ht="24.95" customHeight="1" thickBot="1" x14ac:dyDescent="0.35">
      <c r="C35" s="50" t="s">
        <v>56</v>
      </c>
      <c r="D35" s="51"/>
      <c r="E35" s="51"/>
      <c r="F35" s="25"/>
    </row>
    <row r="36" spans="3:7" ht="30.75" thickBot="1" x14ac:dyDescent="0.3">
      <c r="C36" s="32" t="s">
        <v>26</v>
      </c>
      <c r="D36" s="33" t="s">
        <v>57</v>
      </c>
      <c r="E36" s="28">
        <f>[1]PS!$E$2</f>
        <v>260000</v>
      </c>
      <c r="F36" s="23" t="s">
        <v>27</v>
      </c>
    </row>
    <row r="37" spans="3:7" x14ac:dyDescent="0.25">
      <c r="C37" s="34"/>
      <c r="D37" s="19"/>
      <c r="E37" s="31"/>
      <c r="F37" s="25"/>
    </row>
    <row r="38" spans="3:7" ht="24.95" customHeight="1" thickBot="1" x14ac:dyDescent="0.35">
      <c r="C38" s="50" t="s">
        <v>58</v>
      </c>
      <c r="D38" s="51"/>
      <c r="E38" s="51"/>
      <c r="F38" s="25"/>
    </row>
    <row r="39" spans="3:7" ht="42.6" customHeight="1" thickBot="1" x14ac:dyDescent="0.3">
      <c r="C39" s="32" t="s">
        <v>28</v>
      </c>
      <c r="D39" s="27" t="s">
        <v>59</v>
      </c>
      <c r="E39" s="28">
        <f>[1]DW!$H$2</f>
        <v>1185575</v>
      </c>
      <c r="F39" s="23" t="s">
        <v>29</v>
      </c>
    </row>
    <row r="40" spans="3:7" ht="20.100000000000001" customHeight="1" thickBot="1" x14ac:dyDescent="0.3"/>
    <row r="41" spans="3:7" x14ac:dyDescent="0.25">
      <c r="D41" s="35" t="s">
        <v>61</v>
      </c>
      <c r="E41" s="36">
        <f>E30+E33</f>
        <v>9864493.6500000022</v>
      </c>
      <c r="F41" s="37" t="s">
        <v>30</v>
      </c>
      <c r="G41" s="38"/>
    </row>
    <row r="42" spans="3:7" ht="30" x14ac:dyDescent="0.25">
      <c r="D42" s="39" t="s">
        <v>62</v>
      </c>
      <c r="E42" s="40">
        <f>E41+E36</f>
        <v>10124493.650000002</v>
      </c>
      <c r="F42" s="37" t="str">
        <f>"F = E + C"</f>
        <v>F = E + C</v>
      </c>
      <c r="G42" s="41"/>
    </row>
    <row r="43" spans="3:7" ht="30" x14ac:dyDescent="0.25">
      <c r="D43" s="42" t="s">
        <v>63</v>
      </c>
      <c r="E43" s="43">
        <f>E41+E39</f>
        <v>11050068.650000002</v>
      </c>
      <c r="F43" s="37" t="str">
        <f>"G = E + D"</f>
        <v>G = E + D</v>
      </c>
      <c r="G43" s="41"/>
    </row>
    <row r="44" spans="3:7" x14ac:dyDescent="0.25">
      <c r="D44" s="44" t="s">
        <v>67</v>
      </c>
      <c r="E44" s="45"/>
      <c r="F44" s="37" t="s">
        <v>31</v>
      </c>
      <c r="G44" s="41"/>
    </row>
    <row r="45" spans="3:7" ht="30" x14ac:dyDescent="0.25">
      <c r="D45" s="42" t="s">
        <v>64</v>
      </c>
      <c r="E45" s="45"/>
      <c r="F45" s="37" t="s">
        <v>32</v>
      </c>
      <c r="G45" s="41"/>
    </row>
    <row r="46" spans="3:7" ht="30" x14ac:dyDescent="0.25">
      <c r="D46" s="46" t="s">
        <v>65</v>
      </c>
      <c r="E46" s="47">
        <f>E42+E44+E45</f>
        <v>10124493.650000002</v>
      </c>
      <c r="F46" s="37" t="s">
        <v>33</v>
      </c>
    </row>
    <row r="47" spans="3:7" ht="60" customHeight="1" x14ac:dyDescent="0.25"/>
    <row r="48" spans="3:7" x14ac:dyDescent="0.25">
      <c r="C48" s="48" t="s">
        <v>66</v>
      </c>
      <c r="G48" s="49"/>
    </row>
  </sheetData>
  <mergeCells count="8">
    <mergeCell ref="C35:E35"/>
    <mergeCell ref="C38:E38"/>
    <mergeCell ref="C2:E2"/>
    <mergeCell ref="C3:E3"/>
    <mergeCell ref="C5:E5"/>
    <mergeCell ref="C15:E15"/>
    <mergeCell ref="C26:E26"/>
    <mergeCell ref="C32:E32"/>
  </mergeCells>
  <pageMargins left="0.70866141732283505" right="0.70866141732283505" top="0.74803149606299202" bottom="0.74803149606299202" header="0.31496062992126" footer="0.31496062992126"/>
  <pageSetup paperSize="9" scale="85" firstPageNumber="23" fitToHeight="0" orientation="portrait" useFirstPageNumber="1" r:id="rId1"/>
  <headerFooter>
    <oddHeader>&amp;LSection IV. Bidding Forms&amp;CBill of Quantities LOT 2A&amp;R&amp;P</oddHeader>
    <oddFooter>&amp;LRural Ajara Programme LOT2 (ICB - 505 447)&amp;RBidding Documents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 Gogichaishvili</dc:creator>
  <cp:lastModifiedBy>Irakli Gogichaishvili</cp:lastModifiedBy>
  <dcterms:created xsi:type="dcterms:W3CDTF">2025-10-02T06:40:35Z</dcterms:created>
  <dcterms:modified xsi:type="dcterms:W3CDTF">2025-10-02T07:19:21Z</dcterms:modified>
</cp:coreProperties>
</file>