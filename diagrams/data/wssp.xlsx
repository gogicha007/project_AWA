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CODES\project_man\diagrams\data\"/>
    </mc:Choice>
  </mc:AlternateContent>
  <xr:revisionPtr revIDLastSave="0" documentId="13_ncr:1_{C617F739-9791-4E0B-A80D-6FAFCD21FBB0}" xr6:coauthVersionLast="47" xr6:coauthVersionMax="47" xr10:uidLastSave="{00000000-0000-0000-0000-000000000000}"/>
  <bookViews>
    <workbookView xWindow="3585" yWindow="2835" windowWidth="16485" windowHeight="11295" xr2:uid="{BF8ED30C-07A0-4072-83A7-55D0E529FDA4}"/>
  </bookViews>
  <sheets>
    <sheet name="WSSP" sheetId="1" r:id="rId1"/>
  </sheets>
  <externalReferences>
    <externalReference r:id="rId2"/>
  </externalReferences>
  <definedNames>
    <definedName name="_xlnm.Print_Area" localSheetId="0">WSSP!$B$1:$G$64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3" i="1" l="1"/>
  <c r="G63" i="1" s="1"/>
  <c r="E61" i="1"/>
  <c r="G61" i="1" s="1"/>
  <c r="E60" i="1"/>
  <c r="G60" i="1" s="1"/>
  <c r="G58" i="1"/>
  <c r="E57" i="1"/>
  <c r="G57" i="1" s="1"/>
  <c r="G56" i="1"/>
  <c r="E55" i="1"/>
  <c r="G55" i="1" s="1"/>
  <c r="G54" i="1"/>
  <c r="G53" i="1"/>
  <c r="E52" i="1"/>
  <c r="G52" i="1" s="1"/>
  <c r="E50" i="1"/>
  <c r="G50" i="1" s="1"/>
  <c r="E48" i="1"/>
  <c r="G48" i="1" s="1"/>
  <c r="F46" i="1"/>
  <c r="E46" i="1"/>
  <c r="E44" i="1"/>
  <c r="G44" i="1" s="1"/>
  <c r="E43" i="1"/>
  <c r="G43" i="1" s="1"/>
  <c r="E42" i="1"/>
  <c r="G42" i="1" s="1"/>
  <c r="E41" i="1"/>
  <c r="G41" i="1" s="1"/>
  <c r="G40" i="1"/>
  <c r="G37" i="1"/>
  <c r="G36" i="1"/>
  <c r="E35" i="1"/>
  <c r="G35" i="1" s="1"/>
  <c r="G33" i="1"/>
  <c r="G32" i="1"/>
  <c r="G31" i="1"/>
  <c r="G30" i="1"/>
  <c r="G29" i="1"/>
  <c r="G27" i="1"/>
  <c r="G26" i="1"/>
  <c r="E25" i="1"/>
  <c r="G25" i="1" s="1"/>
  <c r="G24" i="1"/>
  <c r="E23" i="1"/>
  <c r="G23" i="1" s="1"/>
  <c r="E21" i="1"/>
  <c r="G21" i="1" s="1"/>
  <c r="E20" i="1"/>
  <c r="G20" i="1" s="1"/>
  <c r="E19" i="1"/>
  <c r="G19" i="1" s="1"/>
  <c r="E18" i="1"/>
  <c r="G18" i="1" s="1"/>
  <c r="E17" i="1"/>
  <c r="G17" i="1" s="1"/>
  <c r="E16" i="1"/>
  <c r="G16" i="1" s="1"/>
  <c r="E15" i="1"/>
  <c r="G15" i="1" s="1"/>
  <c r="E13" i="1"/>
  <c r="G13" i="1" s="1"/>
  <c r="E12" i="1"/>
  <c r="G12" i="1" s="1"/>
  <c r="E11" i="1"/>
  <c r="G11" i="1" s="1"/>
  <c r="E10" i="1"/>
  <c r="G10" i="1" s="1"/>
  <c r="E9" i="1"/>
  <c r="G9" i="1" s="1"/>
  <c r="G8" i="1"/>
  <c r="G7" i="1"/>
  <c r="G46" i="1" l="1"/>
  <c r="G2" i="1" s="1"/>
</calcChain>
</file>

<file path=xl/sharedStrings.xml><?xml version="1.0" encoding="utf-8"?>
<sst xmlns="http://schemas.openxmlformats.org/spreadsheetml/2006/main" count="169" uniqueCount="111">
  <si>
    <t>WSSP</t>
  </si>
  <si>
    <t>Description of work</t>
  </si>
  <si>
    <t>The pipes and appurtenances spare parts to be provided to the Employer are included in this bill. The price shall include the delivery to the Employer warehouse or where indicated by the Engineer. A 10% of the total amount of material to be installed are considered for spare parts</t>
  </si>
  <si>
    <t>Supply and deliver of water pipes, including all fittings and joints necessary for complete installation</t>
  </si>
  <si>
    <t>1.1</t>
  </si>
  <si>
    <t>High Density Polyethylene (HDPE) pipes, material grade HDPE100, nominal pressure rating 10 bar (PN10), with SDR17</t>
  </si>
  <si>
    <t>1.1.1</t>
  </si>
  <si>
    <t>HDPE Pipe DN25 for service connection</t>
  </si>
  <si>
    <t>m</t>
  </si>
  <si>
    <t>1.1.2</t>
  </si>
  <si>
    <t>HDPE Pipe DN32</t>
  </si>
  <si>
    <t>1.1.3</t>
  </si>
  <si>
    <t>HDPE Pipe DN50</t>
  </si>
  <si>
    <t>1.1.4</t>
  </si>
  <si>
    <t>HDPE Pipe DN63</t>
  </si>
  <si>
    <t>1.1.5</t>
  </si>
  <si>
    <t>HDPE Pipe DN75</t>
  </si>
  <si>
    <t>1.1.6</t>
  </si>
  <si>
    <t>HDPE Pipe DN110</t>
  </si>
  <si>
    <t>1.1.7</t>
  </si>
  <si>
    <t>HDPE Pipe DN125</t>
  </si>
  <si>
    <t>1.2</t>
  </si>
  <si>
    <t>High Density Polyethylene (HDPE) pipes, material grade HDPE100, nominal pressure rating 16 bar (PN16), with SDR11</t>
  </si>
  <si>
    <t>1.2.1</t>
  </si>
  <si>
    <t>1.2.2</t>
  </si>
  <si>
    <t>1.2.3</t>
  </si>
  <si>
    <t>1.2.4</t>
  </si>
  <si>
    <t>1.2.5</t>
  </si>
  <si>
    <t>1.2.6</t>
  </si>
  <si>
    <t>HDPE Pipe DN90</t>
  </si>
  <si>
    <t>1.2.7</t>
  </si>
  <si>
    <t>1.3</t>
  </si>
  <si>
    <t>High Density Polyethylene (HDPE) pipes, material grade HDPE100, nominal pressure rating 20 bar (PN20), with SDR9</t>
  </si>
  <si>
    <t>1.3.1</t>
  </si>
  <si>
    <t>1.3.2</t>
  </si>
  <si>
    <t>1.3.3</t>
  </si>
  <si>
    <t>1.3.4</t>
  </si>
  <si>
    <t>1.3.5</t>
  </si>
  <si>
    <t>1.4</t>
  </si>
  <si>
    <t>High Density Polyethylene (HDPE) pipes, material grade HDPE100, nominal pressure rating 25 bar (PN25), with SDR7,4</t>
  </si>
  <si>
    <t>1.4.1</t>
  </si>
  <si>
    <t>1.4.2</t>
  </si>
  <si>
    <t>1.4.3</t>
  </si>
  <si>
    <t>1.4.4</t>
  </si>
  <si>
    <t>1.4.5</t>
  </si>
  <si>
    <t>1.5</t>
  </si>
  <si>
    <t>Steel pipe grade St.42 for protection of exposed pipeline, road / river undercrossing sections and transmission pipelines</t>
  </si>
  <si>
    <t>1.5.1</t>
  </si>
  <si>
    <t>Steel pipe DN50 / 4mm</t>
  </si>
  <si>
    <t>1.5.2</t>
  </si>
  <si>
    <t>Steel pipe DN65 / 8mm</t>
  </si>
  <si>
    <t>1.5.3</t>
  </si>
  <si>
    <t>Steel pipe sleeve DN100 / 4mm</t>
  </si>
  <si>
    <t>Supply and deliver of water appurtenances</t>
  </si>
  <si>
    <t>2.1</t>
  </si>
  <si>
    <t>Underground cast iron water network gate valves within Valve Chambers (Type I, II, III or IV), including all necessary fittings, such as welded flanges, flange adapters, spindle extension, and road cap</t>
  </si>
  <si>
    <t>2.1.1</t>
  </si>
  <si>
    <t>Gate valve for main pipeline size DN32</t>
  </si>
  <si>
    <t>no.</t>
  </si>
  <si>
    <t>2.1.2</t>
  </si>
  <si>
    <t>Gate valve for main pipeline size DN50</t>
  </si>
  <si>
    <t>2.1.3</t>
  </si>
  <si>
    <t>Gate valve for main pipeline size DN63/DN65</t>
  </si>
  <si>
    <t>2.1.4</t>
  </si>
  <si>
    <t>Gate valve for main pipeline size DN75</t>
  </si>
  <si>
    <t>2.1.5</t>
  </si>
  <si>
    <t>Gate valve for main pipeline size DN90</t>
  </si>
  <si>
    <t>2.2</t>
  </si>
  <si>
    <t>Stand type fire hydrant, including "Tee" from mainline and all necessary fittings, such as welded flanges, flange adapters, spindle extension, and road cap</t>
  </si>
  <si>
    <t>2.2.1</t>
  </si>
  <si>
    <t>Hydrant for main pipeline size DN80</t>
  </si>
  <si>
    <t>2.3</t>
  </si>
  <si>
    <t>Set of pressure reducing valves (PRV), including one working and one standby consiting all necessary fittings, such as welded flanges, gate valves, flange adapters, strainers, pressure gages and road cap</t>
  </si>
  <si>
    <t>2.3.1</t>
  </si>
  <si>
    <t>PRV set for main pipeline size DN50</t>
  </si>
  <si>
    <t>2.4</t>
  </si>
  <si>
    <t>Air valves, including all necessary fittings, such as welded flanges, flange adapters, spindle extension, and road cap</t>
  </si>
  <si>
    <t>2.4.1</t>
  </si>
  <si>
    <t>Air valves for main pipeline size DN50 / PN16</t>
  </si>
  <si>
    <t>2.5</t>
  </si>
  <si>
    <t>Additional mecanical equipment</t>
  </si>
  <si>
    <t>2.5.1</t>
  </si>
  <si>
    <t>Bulk Water Meter DN63 / PN16 - Equipped with Data Logger</t>
  </si>
  <si>
    <t>2.5.2</t>
  </si>
  <si>
    <t>Bulk Water Meter DN75 / PN16 - Equipped with Data Logger</t>
  </si>
  <si>
    <t>2.5.3</t>
  </si>
  <si>
    <t>Bulk Water Meter DN90 / PN16 - Equipped with Data Logger</t>
  </si>
  <si>
    <t>2.5.4</t>
  </si>
  <si>
    <t>Level control valve DN63 PN16</t>
  </si>
  <si>
    <t>2.5.5</t>
  </si>
  <si>
    <t>Level control valve DN75 PN16</t>
  </si>
  <si>
    <t>2.5.6</t>
  </si>
  <si>
    <t>Pressure / Flow Control Valve DN63 / PN16</t>
  </si>
  <si>
    <t>2.5.7</t>
  </si>
  <si>
    <t>Pressure / Flow Control Valve DN75 / PN16</t>
  </si>
  <si>
    <t>2.6</t>
  </si>
  <si>
    <t>House / service connections (all fittings to be rated to PN16)</t>
  </si>
  <si>
    <t>2.6.1</t>
  </si>
  <si>
    <r>
      <rPr>
        <b/>
        <sz val="11"/>
        <color theme="1"/>
        <rFont val="Calibri"/>
        <family val="1"/>
        <scheme val="minor"/>
      </rPr>
      <t>Water meters Type II (underground in the house front yard),</t>
    </r>
    <r>
      <rPr>
        <sz val="11"/>
        <color theme="1"/>
        <rFont val="Calibri"/>
        <family val="2"/>
        <scheme val="minor"/>
      </rPr>
      <t xml:space="preserve"> including house water meter, plastic water meter box 300x500x200mm and all necessary fittings, such as ball valves and non-return valve with thermal isolation</t>
    </r>
  </si>
  <si>
    <t>2.6.2</t>
  </si>
  <si>
    <t xml:space="preserve">PRV equipment for Water metters Type III. Item includes valve DN20, filter DN20, pressure reducer DN20 PN16, thermal isolation and box. </t>
  </si>
  <si>
    <t>Chlorination</t>
  </si>
  <si>
    <t>2,7.1</t>
  </si>
  <si>
    <t>Supply and installation of Inline Chlorine Tablet Feeder</t>
  </si>
  <si>
    <t>no</t>
  </si>
  <si>
    <t>Bill of Quantity for Water Supply Spare Parts - LOT 2A</t>
  </si>
  <si>
    <t xml:space="preserve">Item# </t>
  </si>
  <si>
    <t>Unit</t>
  </si>
  <si>
    <t xml:space="preserve">Quantity </t>
  </si>
  <si>
    <t>Price per unit</t>
  </si>
  <si>
    <t xml:space="preserve">Total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</si>
</sst>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5" x14ac:knownFonts="1">
    <font>
      <sz val="11"/>
      <color theme="1"/>
      <name val="Calibri"/>
      <family val="2"/>
      <scheme val="minor"/>
    </font>
    <font>
      <sz val="11"/>
      <color theme="1"/>
      <name val="Calibri"/>
      <family val="2"/>
      <scheme val="minor"/>
    </font>
    <font>
      <b/>
      <u/>
      <sz val="14"/>
      <color theme="1"/>
      <name val="Calibri"/>
      <family val="1"/>
      <scheme val="minor"/>
    </font>
    <font>
      <b/>
      <sz val="12"/>
      <color theme="1"/>
      <name val="Calibri"/>
      <family val="1"/>
      <scheme val="minor"/>
    </font>
    <font>
      <b/>
      <sz val="11"/>
      <color theme="1"/>
      <name val="Calibri"/>
      <family val="1"/>
      <scheme val="minor"/>
    </font>
  </fonts>
  <fills count="2">
    <fill>
      <patternFill patternType="none"/>
    </fill>
    <fill>
      <patternFill patternType="gray125"/>
    </fill>
  </fills>
  <borders count="20">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diagonalUp="1">
      <left style="thin">
        <color auto="1"/>
      </left>
      <right style="medium">
        <color auto="1"/>
      </right>
      <top style="thin">
        <color auto="1"/>
      </top>
      <bottom style="thin">
        <color auto="1"/>
      </bottom>
      <diagonal style="thin">
        <color auto="1"/>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xf numFmtId="164" fontId="1" fillId="0" borderId="0" applyFont="0" applyFill="0" applyBorder="0" applyAlignment="0" applyProtection="0"/>
  </cellStyleXfs>
  <cellXfs count="45">
    <xf numFmtId="0" fontId="0" fillId="0" borderId="0" xfId="0"/>
    <xf numFmtId="9" fontId="0" fillId="0" borderId="0" xfId="0" applyNumberFormat="1"/>
    <xf numFmtId="0" fontId="3" fillId="0" borderId="4" xfId="0" applyFont="1" applyBorder="1" applyAlignment="1">
      <alignment horizontal="center" vertical="center"/>
    </xf>
    <xf numFmtId="0" fontId="3" fillId="0" borderId="5" xfId="0" applyFont="1" applyBorder="1" applyAlignment="1">
      <alignment horizontal="center" vertical="center"/>
    </xf>
    <xf numFmtId="164" fontId="3" fillId="0" borderId="7" xfId="0" applyNumberFormat="1" applyFont="1" applyBorder="1" applyAlignment="1">
      <alignment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xf>
    <xf numFmtId="0" fontId="4" fillId="0" borderId="9" xfId="0" applyFont="1" applyBorder="1" applyAlignment="1">
      <alignment horizontal="center" vertical="center" wrapText="1"/>
    </xf>
    <xf numFmtId="164" fontId="4" fillId="0" borderId="9" xfId="0" applyNumberFormat="1" applyFont="1" applyBorder="1" applyAlignment="1">
      <alignment horizontal="center" vertical="center" wrapText="1"/>
    </xf>
    <xf numFmtId="164" fontId="4" fillId="0" borderId="10" xfId="0" applyNumberFormat="1" applyFont="1" applyBorder="1" applyAlignment="1">
      <alignment horizontal="center" vertical="center" wrapText="1"/>
    </xf>
    <xf numFmtId="0" fontId="4" fillId="0" borderId="11" xfId="0" applyFont="1" applyBorder="1" applyAlignment="1">
      <alignment horizontal="center" vertical="center"/>
    </xf>
    <xf numFmtId="0" fontId="0" fillId="0" borderId="12" xfId="0" applyBorder="1" applyAlignment="1">
      <alignment horizontal="left" vertical="top" wrapText="1"/>
    </xf>
    <xf numFmtId="0" fontId="4" fillId="0" borderId="12" xfId="0" applyFont="1" applyBorder="1" applyAlignment="1">
      <alignment horizontal="center" vertical="center"/>
    </xf>
    <xf numFmtId="164" fontId="4" fillId="0" borderId="12" xfId="0" applyNumberFormat="1" applyFont="1" applyBorder="1" applyAlignment="1">
      <alignment horizontal="center" vertical="center"/>
    </xf>
    <xf numFmtId="164" fontId="4" fillId="0" borderId="12" xfId="0" applyNumberFormat="1" applyFont="1" applyBorder="1" applyAlignment="1" applyProtection="1">
      <alignment horizontal="center" vertical="center" wrapText="1"/>
      <protection locked="0"/>
    </xf>
    <xf numFmtId="164" fontId="0" fillId="0" borderId="13" xfId="1" applyFont="1" applyFill="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left" vertical="top" wrapText="1"/>
    </xf>
    <xf numFmtId="0" fontId="4" fillId="0" borderId="15" xfId="0" applyFont="1" applyBorder="1" applyAlignment="1">
      <alignment horizontal="center" vertical="center"/>
    </xf>
    <xf numFmtId="164" fontId="4" fillId="0" borderId="15" xfId="0" applyNumberFormat="1" applyFont="1" applyBorder="1" applyAlignment="1">
      <alignment horizontal="center" vertical="center"/>
    </xf>
    <xf numFmtId="164" fontId="4" fillId="0" borderId="15" xfId="0" applyNumberFormat="1" applyFont="1" applyBorder="1" applyAlignment="1" applyProtection="1">
      <alignment horizontal="center" vertical="center" wrapText="1"/>
      <protection locked="0"/>
    </xf>
    <xf numFmtId="0" fontId="4" fillId="0" borderId="0" xfId="0" applyFont="1"/>
    <xf numFmtId="0" fontId="0" fillId="0" borderId="14" xfId="0" applyBorder="1" applyAlignment="1">
      <alignment horizontal="center" vertical="center"/>
    </xf>
    <xf numFmtId="0" fontId="0" fillId="0" borderId="15" xfId="0" applyBorder="1" applyAlignment="1">
      <alignment vertical="top" wrapText="1"/>
    </xf>
    <xf numFmtId="0" fontId="0" fillId="0" borderId="15" xfId="0" applyBorder="1" applyAlignment="1">
      <alignment horizontal="left" vertical="top" wrapText="1"/>
    </xf>
    <xf numFmtId="0" fontId="0" fillId="0" borderId="15" xfId="0" applyBorder="1" applyAlignment="1">
      <alignment horizontal="center" vertical="center"/>
    </xf>
    <xf numFmtId="164" fontId="0" fillId="0" borderId="15" xfId="1" applyFont="1" applyFill="1" applyBorder="1" applyAlignment="1">
      <alignment horizontal="center" vertical="center"/>
    </xf>
    <xf numFmtId="164" fontId="0" fillId="0" borderId="15" xfId="1" applyFont="1" applyFill="1" applyBorder="1" applyAlignment="1" applyProtection="1">
      <alignment horizontal="center" vertical="center"/>
      <protection locked="0"/>
    </xf>
    <xf numFmtId="164" fontId="0" fillId="0" borderId="16" xfId="1" applyFont="1" applyFill="1" applyBorder="1" applyAlignment="1">
      <alignment horizontal="center" vertical="center"/>
    </xf>
    <xf numFmtId="49"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4" fillId="0" borderId="15" xfId="0" applyFont="1" applyBorder="1" applyAlignment="1">
      <alignment vertical="top" wrapText="1"/>
    </xf>
    <xf numFmtId="0" fontId="0" fillId="0" borderId="17" xfId="0" applyBorder="1" applyAlignment="1">
      <alignment horizontal="center" vertical="center"/>
    </xf>
    <xf numFmtId="0" fontId="0" fillId="0" borderId="18" xfId="0" applyBorder="1" applyAlignment="1">
      <alignment vertical="top" wrapText="1"/>
    </xf>
    <xf numFmtId="0" fontId="0" fillId="0" borderId="18" xfId="0" applyBorder="1" applyAlignment="1">
      <alignment horizontal="center" vertical="center"/>
    </xf>
    <xf numFmtId="164" fontId="0" fillId="0" borderId="18" xfId="1" applyFont="1" applyFill="1" applyBorder="1" applyAlignment="1">
      <alignment horizontal="center" vertical="center"/>
    </xf>
    <xf numFmtId="164" fontId="0" fillId="0" borderId="18" xfId="1" applyFont="1" applyFill="1" applyBorder="1" applyAlignment="1" applyProtection="1">
      <alignment horizontal="center" vertical="center"/>
      <protection locked="0"/>
    </xf>
    <xf numFmtId="164" fontId="0" fillId="0" borderId="19" xfId="1" applyFont="1" applyFill="1" applyBorder="1" applyAlignment="1">
      <alignment horizontal="center" vertical="center"/>
    </xf>
    <xf numFmtId="0" fontId="0" fillId="0" borderId="0" xfId="0" applyAlignment="1">
      <alignment horizontal="center"/>
    </xf>
    <xf numFmtId="164" fontId="0" fillId="0" borderId="0" xfId="0" applyNumberFormat="1"/>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2" xfId="0" applyFont="1" applyBorder="1" applyAlignment="1">
      <alignment horizontal="right" vertical="center"/>
    </xf>
    <xf numFmtId="0" fontId="3" fillId="0" borderId="6" xfId="0" applyFont="1" applyBorder="1" applyAlignment="1">
      <alignment horizontal="righ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IRAKLI\Temp\project_awa\Vol2.2_BoQ_LOT_2A_Version%20GZ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Summary"/>
      <sheetName val="Gen,Prelim&amp;ESHS"/>
      <sheetName val="WS01"/>
      <sheetName val="WS02"/>
      <sheetName val="WS03"/>
      <sheetName val="WS04"/>
      <sheetName val="WS05"/>
      <sheetName val="WS06"/>
      <sheetName val="WS07"/>
      <sheetName val="WS08"/>
      <sheetName val="WS09"/>
      <sheetName val="WSSUM"/>
      <sheetName val="WSSP"/>
      <sheetName val="Inf._stream_int."/>
      <sheetName val="R50"/>
      <sheetName val="R100"/>
      <sheetName val="R200"/>
      <sheetName val="WW01"/>
      <sheetName val="WW02"/>
      <sheetName val="WW03"/>
      <sheetName val="WW04"/>
      <sheetName val="WW05"/>
      <sheetName val="WW06"/>
      <sheetName val="WW07"/>
      <sheetName val="WW08"/>
      <sheetName val="WW09"/>
      <sheetName val="WW10"/>
      <sheetName val="WWSUM"/>
      <sheetName val="WWSP"/>
      <sheetName val="ST20"/>
      <sheetName val="ST30"/>
      <sheetName val="ST100"/>
      <sheetName val="DW"/>
      <sheetName val="PS"/>
    </sheetNames>
    <sheetDataSet>
      <sheetData sheetId="0">
        <row r="8">
          <cell r="A8" t="str">
            <v>€ (EUR)</v>
          </cell>
        </row>
      </sheetData>
      <sheetData sheetId="1"/>
      <sheetData sheetId="2">
        <row r="15">
          <cell r="G15">
            <v>353000</v>
          </cell>
        </row>
      </sheetData>
      <sheetData sheetId="3">
        <row r="2">
          <cell r="H2">
            <v>1139540.8600000001</v>
          </cell>
        </row>
        <row r="10">
          <cell r="F10">
            <v>0</v>
          </cell>
        </row>
        <row r="11">
          <cell r="F11">
            <v>0</v>
          </cell>
        </row>
        <row r="13">
          <cell r="F13">
            <v>0</v>
          </cell>
        </row>
      </sheetData>
      <sheetData sheetId="4">
        <row r="2">
          <cell r="H2">
            <v>1099146</v>
          </cell>
        </row>
      </sheetData>
      <sheetData sheetId="5">
        <row r="2">
          <cell r="H2">
            <v>447456.86</v>
          </cell>
        </row>
      </sheetData>
      <sheetData sheetId="6">
        <row r="2">
          <cell r="H2">
            <v>102882</v>
          </cell>
        </row>
      </sheetData>
      <sheetData sheetId="7">
        <row r="3">
          <cell r="H3">
            <v>870614.96</v>
          </cell>
        </row>
      </sheetData>
      <sheetData sheetId="8">
        <row r="2">
          <cell r="H2">
            <v>294347</v>
          </cell>
        </row>
      </sheetData>
      <sheetData sheetId="9">
        <row r="2">
          <cell r="H2">
            <v>462607.9</v>
          </cell>
        </row>
      </sheetData>
      <sheetData sheetId="10">
        <row r="2">
          <cell r="H2">
            <v>455284.9</v>
          </cell>
        </row>
      </sheetData>
      <sheetData sheetId="11">
        <row r="2">
          <cell r="H2">
            <v>361045.35</v>
          </cell>
        </row>
        <row r="48">
          <cell r="G48">
            <v>1000</v>
          </cell>
        </row>
      </sheetData>
      <sheetData sheetId="12">
        <row r="8">
          <cell r="F8">
            <v>1650</v>
          </cell>
        </row>
        <row r="11">
          <cell r="F11">
            <v>1050</v>
          </cell>
        </row>
        <row r="14">
          <cell r="F14">
            <v>12305</v>
          </cell>
        </row>
        <row r="15">
          <cell r="F15">
            <v>13936</v>
          </cell>
        </row>
        <row r="16">
          <cell r="F16">
            <v>65864</v>
          </cell>
        </row>
        <row r="17">
          <cell r="F17">
            <v>8245</v>
          </cell>
        </row>
        <row r="18">
          <cell r="F18">
            <v>7655</v>
          </cell>
        </row>
        <row r="19">
          <cell r="F19">
            <v>4930</v>
          </cell>
        </row>
        <row r="20">
          <cell r="F20">
            <v>1550</v>
          </cell>
        </row>
        <row r="22">
          <cell r="F22">
            <v>905</v>
          </cell>
        </row>
        <row r="24">
          <cell r="F24">
            <v>955</v>
          </cell>
        </row>
        <row r="34">
          <cell r="F34">
            <v>4535</v>
          </cell>
        </row>
        <row r="40">
          <cell r="F40">
            <v>173</v>
          </cell>
        </row>
        <row r="41">
          <cell r="F41">
            <v>133</v>
          </cell>
        </row>
        <row r="42">
          <cell r="F42">
            <v>15</v>
          </cell>
        </row>
        <row r="43">
          <cell r="F43">
            <v>9</v>
          </cell>
        </row>
        <row r="49">
          <cell r="F49">
            <v>23</v>
          </cell>
        </row>
        <row r="51">
          <cell r="F51">
            <v>44</v>
          </cell>
        </row>
        <row r="53">
          <cell r="F53">
            <v>32</v>
          </cell>
        </row>
        <row r="55">
          <cell r="F55">
            <v>16</v>
          </cell>
        </row>
        <row r="59">
          <cell r="F59">
            <v>10</v>
          </cell>
        </row>
        <row r="61">
          <cell r="F61">
            <v>9</v>
          </cell>
        </row>
        <row r="64">
          <cell r="F64">
            <v>1056</v>
          </cell>
        </row>
        <row r="65">
          <cell r="F65">
            <v>305</v>
          </cell>
        </row>
        <row r="73">
          <cell r="F73">
            <v>9</v>
          </cell>
        </row>
      </sheetData>
      <sheetData sheetId="13">
        <row r="2">
          <cell r="H2">
            <v>109482.4</v>
          </cell>
        </row>
      </sheetData>
      <sheetData sheetId="14"/>
      <sheetData sheetId="15">
        <row r="6">
          <cell r="G6">
            <v>20</v>
          </cell>
        </row>
      </sheetData>
      <sheetData sheetId="16"/>
      <sheetData sheetId="17"/>
      <sheetData sheetId="18">
        <row r="2">
          <cell r="H2">
            <v>993412.3</v>
          </cell>
        </row>
      </sheetData>
      <sheetData sheetId="19">
        <row r="2">
          <cell r="H2">
            <v>838035.5</v>
          </cell>
        </row>
      </sheetData>
      <sheetData sheetId="20">
        <row r="2">
          <cell r="H2">
            <v>200641.44</v>
          </cell>
        </row>
      </sheetData>
      <sheetData sheetId="21">
        <row r="2">
          <cell r="H2">
            <v>417873.94</v>
          </cell>
        </row>
      </sheetData>
      <sheetData sheetId="22">
        <row r="2">
          <cell r="H2">
            <v>146870.72</v>
          </cell>
        </row>
      </sheetData>
      <sheetData sheetId="23">
        <row r="2">
          <cell r="H2">
            <v>336462.88</v>
          </cell>
        </row>
      </sheetData>
      <sheetData sheetId="24">
        <row r="2">
          <cell r="H2">
            <v>241536.44</v>
          </cell>
        </row>
      </sheetData>
      <sheetData sheetId="25">
        <row r="2">
          <cell r="H2">
            <v>376304.32</v>
          </cell>
        </row>
      </sheetData>
      <sheetData sheetId="26">
        <row r="2">
          <cell r="H2">
            <v>196787.88</v>
          </cell>
        </row>
      </sheetData>
      <sheetData sheetId="27">
        <row r="2">
          <cell r="H2">
            <v>88960</v>
          </cell>
        </row>
      </sheetData>
      <sheetData sheetId="28"/>
      <sheetData sheetId="29">
        <row r="2">
          <cell r="H2">
            <v>37700</v>
          </cell>
        </row>
      </sheetData>
      <sheetData sheetId="30"/>
      <sheetData sheetId="31"/>
      <sheetData sheetId="32"/>
      <sheetData sheetId="33">
        <row r="2">
          <cell r="H2">
            <v>1185575</v>
          </cell>
        </row>
      </sheetData>
      <sheetData sheetId="34">
        <row r="2">
          <cell r="E2">
            <v>260000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F31E4-77A7-460B-875F-C1DE90337DAE}">
  <sheetPr>
    <tabColor theme="4" tint="0.59996337778862885"/>
    <pageSetUpPr fitToPage="1"/>
  </sheetPr>
  <dimension ref="B1:H64"/>
  <sheetViews>
    <sheetView showGridLines="0" tabSelected="1" view="pageBreakPreview" zoomScale="85" zoomScaleNormal="115" zoomScaleSheetLayoutView="85" workbookViewId="0">
      <pane ySplit="3" topLeftCell="A4" activePane="bottomLeft" state="frozen"/>
      <selection activeCell="K25" sqref="K25"/>
      <selection pane="bottomLeft" activeCell="C4" sqref="C4"/>
    </sheetView>
  </sheetViews>
  <sheetFormatPr defaultColWidth="8.85546875" defaultRowHeight="15" outlineLevelRow="1" x14ac:dyDescent="0.25"/>
  <cols>
    <col min="1" max="1" width="2.85546875" customWidth="1"/>
    <col min="2" max="2" width="8.5703125" style="38" customWidth="1"/>
    <col min="3" max="3" width="57.7109375" customWidth="1"/>
    <col min="4" max="4" width="5.5703125" customWidth="1"/>
    <col min="5" max="6" width="12.5703125" style="39" customWidth="1"/>
    <col min="7" max="7" width="13.42578125" style="39" bestFit="1" customWidth="1"/>
  </cols>
  <sheetData>
    <row r="1" spans="2:8" ht="19.5" thickBot="1" x14ac:dyDescent="0.3">
      <c r="B1" s="40" t="s">
        <v>105</v>
      </c>
      <c r="C1" s="41"/>
      <c r="D1" s="41"/>
      <c r="E1" s="41"/>
      <c r="F1" s="41"/>
      <c r="G1" s="42"/>
      <c r="H1" s="1">
        <v>0.1</v>
      </c>
    </row>
    <row r="2" spans="2:8" ht="16.5" thickBot="1" x14ac:dyDescent="0.3">
      <c r="B2" s="2" t="s">
        <v>0</v>
      </c>
      <c r="C2" s="3"/>
      <c r="D2" s="43"/>
      <c r="E2" s="43"/>
      <c r="F2" s="44"/>
      <c r="G2" s="4">
        <f>SUM(G5:G64)</f>
        <v>109482.4</v>
      </c>
    </row>
    <row r="3" spans="2:8" ht="30" x14ac:dyDescent="0.25">
      <c r="B3" s="5" t="s">
        <v>106</v>
      </c>
      <c r="C3" s="6" t="s">
        <v>1</v>
      </c>
      <c r="D3" s="7" t="s">
        <v>107</v>
      </c>
      <c r="E3" s="8" t="s">
        <v>108</v>
      </c>
      <c r="F3" s="8" t="s">
        <v>109</v>
      </c>
      <c r="G3" s="9" t="s">
        <v>110</v>
      </c>
    </row>
    <row r="4" spans="2:8" ht="75" x14ac:dyDescent="0.25">
      <c r="B4" s="10"/>
      <c r="C4" s="11" t="s">
        <v>2</v>
      </c>
      <c r="D4" s="12"/>
      <c r="E4" s="13"/>
      <c r="F4" s="14"/>
      <c r="G4" s="15"/>
    </row>
    <row r="5" spans="2:8" s="21" customFormat="1" ht="30" x14ac:dyDescent="0.25">
      <c r="B5" s="16">
        <v>1</v>
      </c>
      <c r="C5" s="17" t="s">
        <v>3</v>
      </c>
      <c r="D5" s="18"/>
      <c r="E5" s="19"/>
      <c r="F5" s="20"/>
      <c r="G5" s="15"/>
    </row>
    <row r="6" spans="2:8" s="21" customFormat="1" ht="30" x14ac:dyDescent="0.25">
      <c r="B6" s="16" t="s">
        <v>4</v>
      </c>
      <c r="C6" s="17" t="s">
        <v>5</v>
      </c>
      <c r="D6" s="18"/>
      <c r="E6" s="19"/>
      <c r="F6" s="20"/>
      <c r="G6" s="15"/>
    </row>
    <row r="7" spans="2:8" x14ac:dyDescent="0.25">
      <c r="B7" s="22" t="s">
        <v>6</v>
      </c>
      <c r="C7" s="23" t="s">
        <v>7</v>
      </c>
      <c r="D7" s="25" t="s">
        <v>8</v>
      </c>
      <c r="E7" s="26">
        <v>0</v>
      </c>
      <c r="F7" s="27">
        <v>0.75</v>
      </c>
      <c r="G7" s="28">
        <f t="shared" ref="G7:G13" si="0">ROUND(F7*E7,2)</f>
        <v>0</v>
      </c>
    </row>
    <row r="8" spans="2:8" x14ac:dyDescent="0.25">
      <c r="B8" s="22" t="s">
        <v>9</v>
      </c>
      <c r="C8" s="23" t="s">
        <v>10</v>
      </c>
      <c r="D8" s="25" t="s">
        <v>8</v>
      </c>
      <c r="E8" s="26">
        <v>0</v>
      </c>
      <c r="F8" s="27">
        <v>1.5</v>
      </c>
      <c r="G8" s="28">
        <f t="shared" si="0"/>
        <v>0</v>
      </c>
    </row>
    <row r="9" spans="2:8" x14ac:dyDescent="0.25">
      <c r="B9" s="22" t="s">
        <v>11</v>
      </c>
      <c r="C9" s="23" t="s">
        <v>12</v>
      </c>
      <c r="D9" s="25" t="s">
        <v>8</v>
      </c>
      <c r="E9" s="26">
        <f>ROUND(H1*[1]WSSUM!F8,0)</f>
        <v>165</v>
      </c>
      <c r="F9" s="27">
        <v>2</v>
      </c>
      <c r="G9" s="28">
        <f t="shared" si="0"/>
        <v>330</v>
      </c>
    </row>
    <row r="10" spans="2:8" x14ac:dyDescent="0.25">
      <c r="B10" s="22" t="s">
        <v>13</v>
      </c>
      <c r="C10" s="23" t="s">
        <v>14</v>
      </c>
      <c r="D10" s="25" t="s">
        <v>8</v>
      </c>
      <c r="E10" s="26">
        <f>E4*[1]WS01!F10</f>
        <v>0</v>
      </c>
      <c r="F10" s="27">
        <v>3</v>
      </c>
      <c r="G10" s="28">
        <f t="shared" si="0"/>
        <v>0</v>
      </c>
    </row>
    <row r="11" spans="2:8" x14ac:dyDescent="0.25">
      <c r="B11" s="22" t="s">
        <v>15</v>
      </c>
      <c r="C11" s="23" t="s">
        <v>16</v>
      </c>
      <c r="D11" s="25" t="s">
        <v>8</v>
      </c>
      <c r="E11" s="26">
        <f>E4*[1]WS01!F11</f>
        <v>0</v>
      </c>
      <c r="F11" s="27">
        <v>3.5</v>
      </c>
      <c r="G11" s="28">
        <f t="shared" si="0"/>
        <v>0</v>
      </c>
    </row>
    <row r="12" spans="2:8" x14ac:dyDescent="0.25">
      <c r="B12" s="22" t="s">
        <v>17</v>
      </c>
      <c r="C12" s="23" t="s">
        <v>18</v>
      </c>
      <c r="D12" s="25" t="s">
        <v>8</v>
      </c>
      <c r="E12" s="26">
        <f>ROUND(H1*[1]WSSUM!F11,0)</f>
        <v>105</v>
      </c>
      <c r="F12" s="27">
        <v>7.5</v>
      </c>
      <c r="G12" s="28">
        <f t="shared" si="0"/>
        <v>787.5</v>
      </c>
    </row>
    <row r="13" spans="2:8" x14ac:dyDescent="0.25">
      <c r="B13" s="22" t="s">
        <v>19</v>
      </c>
      <c r="C13" s="23" t="s">
        <v>20</v>
      </c>
      <c r="D13" s="25" t="s">
        <v>8</v>
      </c>
      <c r="E13" s="26">
        <f>E4*[1]WS01!F13</f>
        <v>0</v>
      </c>
      <c r="F13" s="27">
        <v>10</v>
      </c>
      <c r="G13" s="28">
        <f t="shared" si="0"/>
        <v>0</v>
      </c>
    </row>
    <row r="14" spans="2:8" ht="30" x14ac:dyDescent="0.25">
      <c r="B14" s="16" t="s">
        <v>21</v>
      </c>
      <c r="C14" s="17" t="s">
        <v>22</v>
      </c>
      <c r="D14" s="18"/>
      <c r="E14" s="26"/>
      <c r="F14" s="20"/>
      <c r="G14" s="15"/>
    </row>
    <row r="15" spans="2:8" x14ac:dyDescent="0.25">
      <c r="B15" s="22" t="s">
        <v>23</v>
      </c>
      <c r="C15" s="23" t="s">
        <v>7</v>
      </c>
      <c r="D15" s="25" t="s">
        <v>8</v>
      </c>
      <c r="E15" s="26">
        <f>ROUND(H1*[1]WSSUM!F14,0)</f>
        <v>1231</v>
      </c>
      <c r="F15" s="27">
        <v>1</v>
      </c>
      <c r="G15" s="28">
        <f t="shared" ref="G15:G20" si="1">ROUND(F15*E15,2)</f>
        <v>1231</v>
      </c>
    </row>
    <row r="16" spans="2:8" x14ac:dyDescent="0.25">
      <c r="B16" s="22" t="s">
        <v>24</v>
      </c>
      <c r="C16" s="23" t="s">
        <v>10</v>
      </c>
      <c r="D16" s="25" t="s">
        <v>8</v>
      </c>
      <c r="E16" s="26">
        <f>ROUND(H1*[1]WSSUM!F15,0)</f>
        <v>1394</v>
      </c>
      <c r="F16" s="27">
        <v>1.85</v>
      </c>
      <c r="G16" s="28">
        <f t="shared" si="1"/>
        <v>2578.9</v>
      </c>
    </row>
    <row r="17" spans="2:7" x14ac:dyDescent="0.25">
      <c r="B17" s="22" t="s">
        <v>25</v>
      </c>
      <c r="C17" s="23" t="s">
        <v>12</v>
      </c>
      <c r="D17" s="25" t="s">
        <v>8</v>
      </c>
      <c r="E17" s="26">
        <f>ROUND(H1*[1]WSSUM!F16,0)</f>
        <v>6586</v>
      </c>
      <c r="F17" s="27">
        <v>2.5</v>
      </c>
      <c r="G17" s="28">
        <f t="shared" si="1"/>
        <v>16465</v>
      </c>
    </row>
    <row r="18" spans="2:7" x14ac:dyDescent="0.25">
      <c r="B18" s="22" t="s">
        <v>26</v>
      </c>
      <c r="C18" s="23" t="s">
        <v>14</v>
      </c>
      <c r="D18" s="25" t="s">
        <v>8</v>
      </c>
      <c r="E18" s="26">
        <f>ROUND(H1*[1]WSSUM!F17,0)</f>
        <v>825</v>
      </c>
      <c r="F18" s="27">
        <v>3.6</v>
      </c>
      <c r="G18" s="28">
        <f t="shared" si="1"/>
        <v>2970</v>
      </c>
    </row>
    <row r="19" spans="2:7" x14ac:dyDescent="0.25">
      <c r="B19" s="22" t="s">
        <v>27</v>
      </c>
      <c r="C19" s="23" t="s">
        <v>16</v>
      </c>
      <c r="D19" s="25" t="s">
        <v>8</v>
      </c>
      <c r="E19" s="26">
        <f>ROUND(H1*[1]WSSUM!F18,0)</f>
        <v>766</v>
      </c>
      <c r="F19" s="27">
        <v>5</v>
      </c>
      <c r="G19" s="28">
        <f t="shared" si="1"/>
        <v>3830</v>
      </c>
    </row>
    <row r="20" spans="2:7" x14ac:dyDescent="0.25">
      <c r="B20" s="22" t="s">
        <v>28</v>
      </c>
      <c r="C20" s="23" t="s">
        <v>29</v>
      </c>
      <c r="D20" s="25" t="s">
        <v>8</v>
      </c>
      <c r="E20" s="26">
        <f>ROUND(H1*[1]WSSUM!F19,0)</f>
        <v>493</v>
      </c>
      <c r="F20" s="27">
        <v>7</v>
      </c>
      <c r="G20" s="28">
        <f t="shared" si="1"/>
        <v>3451</v>
      </c>
    </row>
    <row r="21" spans="2:7" x14ac:dyDescent="0.25">
      <c r="B21" s="22" t="s">
        <v>30</v>
      </c>
      <c r="C21" s="23" t="s">
        <v>18</v>
      </c>
      <c r="D21" s="25" t="s">
        <v>8</v>
      </c>
      <c r="E21" s="26">
        <f>ROUND(H1*[1]WSSUM!F20,0)</f>
        <v>155</v>
      </c>
      <c r="F21" s="27">
        <v>10</v>
      </c>
      <c r="G21" s="28">
        <f>ROUND(F21*E21,2)</f>
        <v>1550</v>
      </c>
    </row>
    <row r="22" spans="2:7" ht="30" x14ac:dyDescent="0.25">
      <c r="B22" s="16" t="s">
        <v>31</v>
      </c>
      <c r="C22" s="17" t="s">
        <v>32</v>
      </c>
      <c r="D22" s="18"/>
      <c r="E22" s="19"/>
      <c r="F22" s="20"/>
      <c r="G22" s="15"/>
    </row>
    <row r="23" spans="2:7" x14ac:dyDescent="0.25">
      <c r="B23" s="29" t="s">
        <v>33</v>
      </c>
      <c r="C23" s="23" t="s">
        <v>12</v>
      </c>
      <c r="D23" s="25" t="s">
        <v>8</v>
      </c>
      <c r="E23" s="26">
        <f>ROUND(H1*[1]WSSUM!F22,0)</f>
        <v>91</v>
      </c>
      <c r="F23" s="27">
        <v>3</v>
      </c>
      <c r="G23" s="28">
        <f>ROUND(F23*E23,2)</f>
        <v>273</v>
      </c>
    </row>
    <row r="24" spans="2:7" x14ac:dyDescent="0.25">
      <c r="B24" s="29" t="s">
        <v>34</v>
      </c>
      <c r="C24" s="23" t="s">
        <v>14</v>
      </c>
      <c r="D24" s="25" t="s">
        <v>8</v>
      </c>
      <c r="E24" s="26">
        <v>0</v>
      </c>
      <c r="F24" s="27">
        <v>4</v>
      </c>
      <c r="G24" s="28">
        <f>ROUND(F24*E24,2)</f>
        <v>0</v>
      </c>
    </row>
    <row r="25" spans="2:7" x14ac:dyDescent="0.25">
      <c r="B25" s="29" t="s">
        <v>35</v>
      </c>
      <c r="C25" s="23" t="s">
        <v>16</v>
      </c>
      <c r="D25" s="25" t="s">
        <v>8</v>
      </c>
      <c r="E25" s="26">
        <f>ROUND(H1*[1]WSSUM!F24,)</f>
        <v>96</v>
      </c>
      <c r="F25" s="27">
        <v>6</v>
      </c>
      <c r="G25" s="28">
        <f>ROUND(F25*E25,2)</f>
        <v>576</v>
      </c>
    </row>
    <row r="26" spans="2:7" x14ac:dyDescent="0.25">
      <c r="B26" s="29" t="s">
        <v>36</v>
      </c>
      <c r="C26" s="23" t="s">
        <v>18</v>
      </c>
      <c r="D26" s="25" t="s">
        <v>8</v>
      </c>
      <c r="E26" s="26">
        <v>0</v>
      </c>
      <c r="F26" s="27">
        <v>12.5</v>
      </c>
      <c r="G26" s="28">
        <f>ROUND(F26*E26,2)</f>
        <v>0</v>
      </c>
    </row>
    <row r="27" spans="2:7" x14ac:dyDescent="0.25">
      <c r="B27" s="29" t="s">
        <v>37</v>
      </c>
      <c r="C27" s="23" t="s">
        <v>20</v>
      </c>
      <c r="D27" s="25" t="s">
        <v>8</v>
      </c>
      <c r="E27" s="26">
        <v>0</v>
      </c>
      <c r="F27" s="27">
        <v>14</v>
      </c>
      <c r="G27" s="28">
        <f>ROUND(F27*E27,2)</f>
        <v>0</v>
      </c>
    </row>
    <row r="28" spans="2:7" ht="30" outlineLevel="1" x14ac:dyDescent="0.25">
      <c r="B28" s="16" t="s">
        <v>38</v>
      </c>
      <c r="C28" s="17" t="s">
        <v>39</v>
      </c>
      <c r="D28" s="18"/>
      <c r="E28" s="19"/>
      <c r="F28" s="20"/>
      <c r="G28" s="15"/>
    </row>
    <row r="29" spans="2:7" outlineLevel="1" x14ac:dyDescent="0.25">
      <c r="B29" s="29" t="s">
        <v>40</v>
      </c>
      <c r="C29" s="23" t="s">
        <v>12</v>
      </c>
      <c r="D29" s="25" t="s">
        <v>8</v>
      </c>
      <c r="E29" s="26">
        <v>0</v>
      </c>
      <c r="F29" s="27"/>
      <c r="G29" s="28">
        <f>ROUND(F29*E29,2)</f>
        <v>0</v>
      </c>
    </row>
    <row r="30" spans="2:7" outlineLevel="1" x14ac:dyDescent="0.25">
      <c r="B30" s="29" t="s">
        <v>41</v>
      </c>
      <c r="C30" s="23" t="s">
        <v>14</v>
      </c>
      <c r="D30" s="25" t="s">
        <v>8</v>
      </c>
      <c r="E30" s="26">
        <v>0</v>
      </c>
      <c r="F30" s="27"/>
      <c r="G30" s="28">
        <f>ROUND(F30*E30,2)</f>
        <v>0</v>
      </c>
    </row>
    <row r="31" spans="2:7" outlineLevel="1" x14ac:dyDescent="0.25">
      <c r="B31" s="29" t="s">
        <v>42</v>
      </c>
      <c r="C31" s="23" t="s">
        <v>16</v>
      </c>
      <c r="D31" s="25" t="s">
        <v>8</v>
      </c>
      <c r="E31" s="26">
        <v>0</v>
      </c>
      <c r="F31" s="27"/>
      <c r="G31" s="28">
        <f>ROUND(F31*E31,2)</f>
        <v>0</v>
      </c>
    </row>
    <row r="32" spans="2:7" outlineLevel="1" x14ac:dyDescent="0.25">
      <c r="B32" s="29" t="s">
        <v>43</v>
      </c>
      <c r="C32" s="23" t="s">
        <v>18</v>
      </c>
      <c r="D32" s="25" t="s">
        <v>8</v>
      </c>
      <c r="E32" s="26">
        <v>0</v>
      </c>
      <c r="F32" s="27"/>
      <c r="G32" s="28">
        <f>ROUND(F32*E32,2)</f>
        <v>0</v>
      </c>
    </row>
    <row r="33" spans="2:7" outlineLevel="1" x14ac:dyDescent="0.25">
      <c r="B33" s="29" t="s">
        <v>44</v>
      </c>
      <c r="C33" s="23" t="s">
        <v>20</v>
      </c>
      <c r="D33" s="25" t="s">
        <v>8</v>
      </c>
      <c r="E33" s="26">
        <v>0</v>
      </c>
      <c r="F33" s="27"/>
      <c r="G33" s="28">
        <f>ROUND(F33*E33,2)</f>
        <v>0</v>
      </c>
    </row>
    <row r="34" spans="2:7" ht="30" x14ac:dyDescent="0.25">
      <c r="B34" s="16" t="s">
        <v>45</v>
      </c>
      <c r="C34" s="17" t="s">
        <v>46</v>
      </c>
      <c r="D34" s="18"/>
      <c r="E34" s="19"/>
      <c r="F34" s="20"/>
      <c r="G34" s="15"/>
    </row>
    <row r="35" spans="2:7" x14ac:dyDescent="0.25">
      <c r="B35" s="29" t="s">
        <v>47</v>
      </c>
      <c r="C35" s="23" t="s">
        <v>48</v>
      </c>
      <c r="D35" s="25" t="s">
        <v>8</v>
      </c>
      <c r="E35" s="26">
        <f>ROUND(H1*[1]WSSUM!F34,0)</f>
        <v>454</v>
      </c>
      <c r="F35" s="27">
        <v>25</v>
      </c>
      <c r="G35" s="28">
        <f>ROUND(F35*E35,2)</f>
        <v>11350</v>
      </c>
    </row>
    <row r="36" spans="2:7" x14ac:dyDescent="0.25">
      <c r="B36" s="29" t="s">
        <v>49</v>
      </c>
      <c r="C36" s="23" t="s">
        <v>50</v>
      </c>
      <c r="D36" s="25" t="s">
        <v>8</v>
      </c>
      <c r="E36" s="26">
        <v>0</v>
      </c>
      <c r="F36" s="27">
        <v>35</v>
      </c>
      <c r="G36" s="28">
        <f>ROUND(F36*E36,2)</f>
        <v>0</v>
      </c>
    </row>
    <row r="37" spans="2:7" x14ac:dyDescent="0.25">
      <c r="B37" s="29" t="s">
        <v>51</v>
      </c>
      <c r="C37" s="23" t="s">
        <v>52</v>
      </c>
      <c r="D37" s="25" t="s">
        <v>8</v>
      </c>
      <c r="E37" s="26">
        <v>0</v>
      </c>
      <c r="F37" s="27">
        <v>50</v>
      </c>
      <c r="G37" s="28">
        <f>ROUND(F37*E37,2)</f>
        <v>0</v>
      </c>
    </row>
    <row r="38" spans="2:7" x14ac:dyDescent="0.25">
      <c r="B38" s="16">
        <v>2</v>
      </c>
      <c r="C38" s="17" t="s">
        <v>53</v>
      </c>
      <c r="D38" s="18"/>
      <c r="E38" s="19"/>
      <c r="F38" s="20"/>
      <c r="G38" s="15"/>
    </row>
    <row r="39" spans="2:7" ht="60" x14ac:dyDescent="0.25">
      <c r="B39" s="16" t="s">
        <v>54</v>
      </c>
      <c r="C39" s="17" t="s">
        <v>55</v>
      </c>
      <c r="D39" s="18"/>
      <c r="E39" s="19"/>
      <c r="F39" s="20"/>
      <c r="G39" s="15"/>
    </row>
    <row r="40" spans="2:7" x14ac:dyDescent="0.25">
      <c r="B40" s="29" t="s">
        <v>56</v>
      </c>
      <c r="C40" s="23" t="s">
        <v>57</v>
      </c>
      <c r="D40" s="25" t="s">
        <v>58</v>
      </c>
      <c r="E40" s="26">
        <v>0</v>
      </c>
      <c r="F40" s="27">
        <v>200</v>
      </c>
      <c r="G40" s="28">
        <f>ROUND(F40*E40,2)</f>
        <v>0</v>
      </c>
    </row>
    <row r="41" spans="2:7" x14ac:dyDescent="0.25">
      <c r="B41" s="29" t="s">
        <v>59</v>
      </c>
      <c r="C41" s="23" t="s">
        <v>60</v>
      </c>
      <c r="D41" s="25" t="s">
        <v>58</v>
      </c>
      <c r="E41" s="26">
        <f>ROUND(H1*[1]WSSUM!F40,0)</f>
        <v>17</v>
      </c>
      <c r="F41" s="27">
        <v>220</v>
      </c>
      <c r="G41" s="28">
        <f>ROUND(F41*E41,2)</f>
        <v>3740</v>
      </c>
    </row>
    <row r="42" spans="2:7" x14ac:dyDescent="0.25">
      <c r="B42" s="29" t="s">
        <v>61</v>
      </c>
      <c r="C42" s="23" t="s">
        <v>62</v>
      </c>
      <c r="D42" s="25" t="s">
        <v>58</v>
      </c>
      <c r="E42" s="26">
        <f>ROUND(H1*[1]WSSUM!F41,0)</f>
        <v>13</v>
      </c>
      <c r="F42" s="27">
        <v>235</v>
      </c>
      <c r="G42" s="28">
        <f>ROUND(F42*E42,2)</f>
        <v>3055</v>
      </c>
    </row>
    <row r="43" spans="2:7" x14ac:dyDescent="0.25">
      <c r="B43" s="29" t="s">
        <v>63</v>
      </c>
      <c r="C43" s="23" t="s">
        <v>64</v>
      </c>
      <c r="D43" s="25" t="s">
        <v>58</v>
      </c>
      <c r="E43" s="26">
        <f>ROUND(H1*[1]WSSUM!F42,0)</f>
        <v>2</v>
      </c>
      <c r="F43" s="27">
        <v>250</v>
      </c>
      <c r="G43" s="28">
        <f>ROUND(F43*E43,2)</f>
        <v>500</v>
      </c>
    </row>
    <row r="44" spans="2:7" x14ac:dyDescent="0.25">
      <c r="B44" s="29" t="s">
        <v>65</v>
      </c>
      <c r="C44" s="23" t="s">
        <v>66</v>
      </c>
      <c r="D44" s="25" t="s">
        <v>58</v>
      </c>
      <c r="E44" s="26">
        <f>ROUND(H1*[1]WSSUM!F43,0)</f>
        <v>1</v>
      </c>
      <c r="F44" s="27">
        <v>275</v>
      </c>
      <c r="G44" s="28">
        <f>ROUND(F44*E44,2)</f>
        <v>275</v>
      </c>
    </row>
    <row r="45" spans="2:7" ht="45" x14ac:dyDescent="0.25">
      <c r="B45" s="16" t="s">
        <v>67</v>
      </c>
      <c r="C45" s="17" t="s">
        <v>68</v>
      </c>
      <c r="D45" s="18"/>
      <c r="E45" s="19"/>
      <c r="F45" s="20"/>
      <c r="G45" s="15"/>
    </row>
    <row r="46" spans="2:7" x14ac:dyDescent="0.25">
      <c r="B46" s="30" t="s">
        <v>69</v>
      </c>
      <c r="C46" s="24" t="s">
        <v>70</v>
      </c>
      <c r="D46" s="25" t="s">
        <v>58</v>
      </c>
      <c r="E46" s="26">
        <f>ROUND(H1*[1]WSSUM!F49,0)</f>
        <v>2</v>
      </c>
      <c r="F46" s="27">
        <f>[1]WS09!G48</f>
        <v>1000</v>
      </c>
      <c r="G46" s="28">
        <f>ROUND(F46*E46,2)</f>
        <v>2000</v>
      </c>
    </row>
    <row r="47" spans="2:7" ht="60" x14ac:dyDescent="0.25">
      <c r="B47" s="16" t="s">
        <v>71</v>
      </c>
      <c r="C47" s="17" t="s">
        <v>72</v>
      </c>
      <c r="D47" s="18"/>
      <c r="E47" s="19"/>
      <c r="F47" s="20"/>
      <c r="G47" s="15"/>
    </row>
    <row r="48" spans="2:7" x14ac:dyDescent="0.25">
      <c r="B48" s="30" t="s">
        <v>73</v>
      </c>
      <c r="C48" s="24" t="s">
        <v>74</v>
      </c>
      <c r="D48" s="25" t="s">
        <v>58</v>
      </c>
      <c r="E48" s="26">
        <f>ROUND(H1*[1]WSSUM!F51,0)</f>
        <v>4</v>
      </c>
      <c r="F48" s="27">
        <v>750</v>
      </c>
      <c r="G48" s="28">
        <f>ROUND(F48*E48,2)</f>
        <v>3000</v>
      </c>
    </row>
    <row r="49" spans="2:7" ht="30" x14ac:dyDescent="0.25">
      <c r="B49" s="16" t="s">
        <v>75</v>
      </c>
      <c r="C49" s="17" t="s">
        <v>76</v>
      </c>
      <c r="D49" s="18"/>
      <c r="E49" s="19"/>
      <c r="F49" s="20"/>
      <c r="G49" s="15"/>
    </row>
    <row r="50" spans="2:7" x14ac:dyDescent="0.25">
      <c r="B50" s="30" t="s">
        <v>77</v>
      </c>
      <c r="C50" s="24" t="s">
        <v>78</v>
      </c>
      <c r="D50" s="25" t="s">
        <v>58</v>
      </c>
      <c r="E50" s="26">
        <f>ROUND(H1*[1]WSSUM!F53,0)</f>
        <v>3</v>
      </c>
      <c r="F50" s="27">
        <v>400</v>
      </c>
      <c r="G50" s="28">
        <f>ROUND(F50*E50,2)</f>
        <v>1200</v>
      </c>
    </row>
    <row r="51" spans="2:7" x14ac:dyDescent="0.25">
      <c r="B51" s="16" t="s">
        <v>79</v>
      </c>
      <c r="C51" s="17" t="s">
        <v>80</v>
      </c>
      <c r="D51" s="25"/>
      <c r="E51" s="26"/>
      <c r="F51" s="20"/>
      <c r="G51" s="15"/>
    </row>
    <row r="52" spans="2:7" x14ac:dyDescent="0.25">
      <c r="B52" s="30" t="s">
        <v>81</v>
      </c>
      <c r="C52" s="24" t="s">
        <v>82</v>
      </c>
      <c r="D52" s="25" t="s">
        <v>58</v>
      </c>
      <c r="E52" s="26">
        <f>ROUND(H1*[1]WSSUM!F55,0)</f>
        <v>2</v>
      </c>
      <c r="F52" s="27">
        <v>400</v>
      </c>
      <c r="G52" s="28">
        <f t="shared" ref="G52:G58" si="2">ROUND(F52*E52,2)</f>
        <v>800</v>
      </c>
    </row>
    <row r="53" spans="2:7" x14ac:dyDescent="0.25">
      <c r="B53" s="30" t="s">
        <v>83</v>
      </c>
      <c r="C53" s="24" t="s">
        <v>84</v>
      </c>
      <c r="D53" s="25" t="s">
        <v>58</v>
      </c>
      <c r="E53" s="26">
        <v>1</v>
      </c>
      <c r="F53" s="27">
        <v>700</v>
      </c>
      <c r="G53" s="28">
        <f t="shared" si="2"/>
        <v>700</v>
      </c>
    </row>
    <row r="54" spans="2:7" x14ac:dyDescent="0.25">
      <c r="B54" s="30" t="s">
        <v>85</v>
      </c>
      <c r="C54" s="24" t="s">
        <v>86</v>
      </c>
      <c r="D54" s="25" t="s">
        <v>58</v>
      </c>
      <c r="E54" s="26">
        <v>1</v>
      </c>
      <c r="F54" s="27">
        <v>720</v>
      </c>
      <c r="G54" s="28">
        <f t="shared" si="2"/>
        <v>720</v>
      </c>
    </row>
    <row r="55" spans="2:7" x14ac:dyDescent="0.25">
      <c r="B55" s="30" t="s">
        <v>87</v>
      </c>
      <c r="C55" s="23" t="s">
        <v>88</v>
      </c>
      <c r="D55" s="25" t="s">
        <v>58</v>
      </c>
      <c r="E55" s="26">
        <f>ROUND(H1*[1]WSSUM!F59,0)</f>
        <v>1</v>
      </c>
      <c r="F55" s="27">
        <v>400</v>
      </c>
      <c r="G55" s="28">
        <f t="shared" si="2"/>
        <v>400</v>
      </c>
    </row>
    <row r="56" spans="2:7" x14ac:dyDescent="0.25">
      <c r="B56" s="30" t="s">
        <v>89</v>
      </c>
      <c r="C56" s="23" t="s">
        <v>90</v>
      </c>
      <c r="D56" s="25" t="s">
        <v>58</v>
      </c>
      <c r="E56" s="26">
        <v>1</v>
      </c>
      <c r="F56" s="27">
        <v>650</v>
      </c>
      <c r="G56" s="28">
        <f t="shared" si="2"/>
        <v>650</v>
      </c>
    </row>
    <row r="57" spans="2:7" x14ac:dyDescent="0.25">
      <c r="B57" s="30" t="s">
        <v>91</v>
      </c>
      <c r="C57" s="24" t="s">
        <v>92</v>
      </c>
      <c r="D57" s="25" t="s">
        <v>58</v>
      </c>
      <c r="E57" s="26">
        <f>ROUND(H1*[1]WSSUM!F61,0)</f>
        <v>1</v>
      </c>
      <c r="F57" s="27">
        <v>750</v>
      </c>
      <c r="G57" s="28">
        <f t="shared" si="2"/>
        <v>750</v>
      </c>
    </row>
    <row r="58" spans="2:7" x14ac:dyDescent="0.25">
      <c r="B58" s="30" t="s">
        <v>93</v>
      </c>
      <c r="C58" s="24" t="s">
        <v>94</v>
      </c>
      <c r="D58" s="25" t="s">
        <v>58</v>
      </c>
      <c r="E58" s="26">
        <v>1</v>
      </c>
      <c r="F58" s="27">
        <v>850</v>
      </c>
      <c r="G58" s="28">
        <f t="shared" si="2"/>
        <v>850</v>
      </c>
    </row>
    <row r="59" spans="2:7" x14ac:dyDescent="0.25">
      <c r="B59" s="16" t="s">
        <v>95</v>
      </c>
      <c r="C59" s="17" t="s">
        <v>96</v>
      </c>
      <c r="D59" s="18"/>
      <c r="E59" s="19"/>
      <c r="F59" s="20"/>
      <c r="G59" s="15"/>
    </row>
    <row r="60" spans="2:7" ht="60" x14ac:dyDescent="0.25">
      <c r="B60" s="22" t="s">
        <v>97</v>
      </c>
      <c r="C60" s="23" t="s">
        <v>98</v>
      </c>
      <c r="D60" s="25" t="s">
        <v>58</v>
      </c>
      <c r="E60" s="26">
        <f>ROUND(H1*[1]WSSUM!F64,0)</f>
        <v>106</v>
      </c>
      <c r="F60" s="27">
        <v>250</v>
      </c>
      <c r="G60" s="28">
        <f>ROUND(F60*E60,2)</f>
        <v>26500</v>
      </c>
    </row>
    <row r="61" spans="2:7" ht="45" x14ac:dyDescent="0.25">
      <c r="B61" s="22" t="s">
        <v>99</v>
      </c>
      <c r="C61" s="23" t="s">
        <v>100</v>
      </c>
      <c r="D61" s="25" t="s">
        <v>58</v>
      </c>
      <c r="E61" s="26">
        <f>ROUND(H1*[1]WSSUM!F65,0)</f>
        <v>31</v>
      </c>
      <c r="F61" s="27">
        <v>450</v>
      </c>
      <c r="G61" s="28">
        <f>ROUND(F61*E61,2)</f>
        <v>13950</v>
      </c>
    </row>
    <row r="62" spans="2:7" x14ac:dyDescent="0.25">
      <c r="B62" s="16">
        <v>2.7</v>
      </c>
      <c r="C62" s="31" t="s">
        <v>101</v>
      </c>
      <c r="D62" s="25"/>
      <c r="E62" s="26"/>
      <c r="F62" s="20"/>
      <c r="G62" s="15"/>
    </row>
    <row r="63" spans="2:7" ht="15.75" thickBot="1" x14ac:dyDescent="0.3">
      <c r="B63" s="32" t="s">
        <v>102</v>
      </c>
      <c r="C63" s="33" t="s">
        <v>103</v>
      </c>
      <c r="D63" s="34" t="s">
        <v>104</v>
      </c>
      <c r="E63" s="35">
        <f>ROUND(H1*[1]WSSUM!F73,0)</f>
        <v>1</v>
      </c>
      <c r="F63" s="36">
        <v>5000</v>
      </c>
      <c r="G63" s="37">
        <f>E63*F63</f>
        <v>5000</v>
      </c>
    </row>
    <row r="64" spans="2:7" ht="60" customHeight="1" x14ac:dyDescent="0.25"/>
  </sheetData>
  <mergeCells count="2">
    <mergeCell ref="B1:G1"/>
    <mergeCell ref="D2:F2"/>
  </mergeCells>
  <pageMargins left="0.70866141732283505" right="0.70866141732283505" top="0.74803149606299202" bottom="0.74803149606299202" header="0.31496062992126" footer="0.31496062992126"/>
  <pageSetup paperSize="9" scale="79" firstPageNumber="23" fitToHeight="0" orientation="portrait" useFirstPageNumber="1" r:id="rId1"/>
  <headerFooter>
    <oddHeader>&amp;LSection IV. Bidding Forms&amp;CBill of Quantities LOT 2A&amp;R&amp;P</oddHeader>
    <oddFooter>&amp;LRural Ajara Programme LOT2 (ICB - 505 447)&amp;RBidding Documents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WSSP</vt:lpstr>
      <vt:lpstr>WSSP!Print_Area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Irakli Gogichaishvili</dc:creator>
  <cp:lastModifiedBy>Irakli Gogichaishvili</cp:lastModifiedBy>
  <dcterms:created xsi:type="dcterms:W3CDTF">2025-10-02T06:57:01Z</dcterms:created>
  <dcterms:modified xsi:type="dcterms:W3CDTF">2025-10-02T07:15:44Z</dcterms:modified>
</cp:coreProperties>
</file>