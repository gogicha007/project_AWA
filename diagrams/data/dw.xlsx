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CODES\project_man\diagrams\data\"/>
    </mc:Choice>
  </mc:AlternateContent>
  <xr:revisionPtr revIDLastSave="0" documentId="13_ncr:1_{D899E7D2-7811-4140-82E7-890A1C691883}" xr6:coauthVersionLast="47" xr6:coauthVersionMax="47" xr10:uidLastSave="{00000000-0000-0000-0000-000000000000}"/>
  <bookViews>
    <workbookView xWindow="3585" yWindow="2835" windowWidth="16485" windowHeight="11295" xr2:uid="{2AB8EDBA-A3FA-4ABA-95B1-21B957F17137}"/>
  </bookViews>
  <sheets>
    <sheet name="DW" sheetId="1" r:id="rId1"/>
  </sheets>
  <definedNames>
    <definedName name="_xlnm.Print_Area" localSheetId="0">DW!$B$1:$G$59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1" l="1"/>
  <c r="G58" i="1"/>
  <c r="G57" i="1"/>
  <c r="G56" i="1"/>
  <c r="G55" i="1"/>
  <c r="G54" i="1"/>
  <c r="G59" i="1" s="1"/>
  <c r="G51" i="1"/>
  <c r="G50" i="1"/>
  <c r="G49" i="1"/>
  <c r="G48" i="1"/>
  <c r="G47" i="1"/>
  <c r="G46" i="1"/>
  <c r="G45" i="1"/>
  <c r="G44" i="1"/>
  <c r="G43" i="1"/>
  <c r="G42" i="1"/>
  <c r="G41" i="1"/>
  <c r="G40" i="1"/>
  <c r="G39" i="1"/>
  <c r="G38" i="1"/>
  <c r="G37" i="1"/>
  <c r="G36" i="1"/>
  <c r="G35" i="1"/>
  <c r="G34" i="1"/>
  <c r="G33" i="1"/>
  <c r="G32" i="1"/>
  <c r="G26" i="1"/>
  <c r="G25" i="1"/>
  <c r="G24" i="1"/>
  <c r="G23" i="1"/>
  <c r="G22" i="1"/>
  <c r="G21" i="1"/>
  <c r="G20" i="1"/>
  <c r="G19" i="1"/>
  <c r="G18" i="1"/>
  <c r="G17" i="1"/>
  <c r="G16" i="1"/>
  <c r="G15" i="1"/>
  <c r="G14" i="1"/>
  <c r="G13" i="1"/>
  <c r="G12" i="1"/>
  <c r="G11" i="1"/>
  <c r="G8" i="1"/>
  <c r="G7" i="1"/>
  <c r="B7" i="1"/>
  <c r="B8" i="1" s="1"/>
  <c r="B11" i="1" s="1"/>
  <c r="B12" i="1" s="1"/>
  <c r="B13" i="1" s="1"/>
  <c r="B14" i="1" s="1"/>
  <c r="B15" i="1" s="1"/>
  <c r="B16" i="1" s="1"/>
  <c r="B17" i="1" s="1"/>
  <c r="B18" i="1" s="1"/>
  <c r="B19" i="1" s="1"/>
  <c r="B20" i="1" s="1"/>
  <c r="B21" i="1" s="1"/>
  <c r="B22" i="1" s="1"/>
  <c r="B23" i="1" s="1"/>
  <c r="B24" i="1" s="1"/>
  <c r="B25" i="1" s="1"/>
  <c r="B26" i="1" s="1"/>
  <c r="B32" i="1" s="1"/>
  <c r="B33" i="1" s="1"/>
  <c r="B34" i="1" s="1"/>
  <c r="B35" i="1" s="1"/>
  <c r="B36" i="1" s="1"/>
  <c r="B37" i="1" s="1"/>
  <c r="B38" i="1" s="1"/>
  <c r="B39" i="1" s="1"/>
  <c r="B40" i="1" s="1"/>
  <c r="B41" i="1" s="1"/>
  <c r="B42" i="1" s="1"/>
  <c r="B43" i="1" s="1"/>
  <c r="B44" i="1" s="1"/>
  <c r="B45" i="1" s="1"/>
  <c r="B46" i="1" s="1"/>
  <c r="B47" i="1" s="1"/>
  <c r="B48" i="1" s="1"/>
  <c r="B49" i="1" s="1"/>
  <c r="B50" i="1" s="1"/>
  <c r="B51" i="1" s="1"/>
  <c r="B54" i="1" s="1"/>
  <c r="B55" i="1" s="1"/>
  <c r="B56" i="1" s="1"/>
  <c r="B57" i="1" s="1"/>
  <c r="B58" i="1" s="1"/>
  <c r="G6" i="1"/>
  <c r="G27" i="1" l="1"/>
  <c r="G29" i="1" s="1"/>
  <c r="G2" i="1" s="1"/>
  <c r="G9" i="1"/>
  <c r="G52" i="1"/>
</calcChain>
</file>

<file path=xl/sharedStrings.xml><?xml version="1.0" encoding="utf-8"?>
<sst xmlns="http://schemas.openxmlformats.org/spreadsheetml/2006/main" count="109" uniqueCount="72">
  <si>
    <t>DW</t>
  </si>
  <si>
    <t>Dayworks</t>
  </si>
  <si>
    <t>Description of work</t>
  </si>
  <si>
    <t>The rates for dayworks shall be rates for provision, transport to site, tools, etc. including social costs for labour and contractors' overhead and profit and allowable profit on materials deliverd to site, all as described in the preamble</t>
  </si>
  <si>
    <t>Labour</t>
  </si>
  <si>
    <t>Unskilled labour</t>
  </si>
  <si>
    <t>h</t>
  </si>
  <si>
    <t>Skilled labour</t>
  </si>
  <si>
    <t>Foreman</t>
  </si>
  <si>
    <t>Total Price Labour</t>
  </si>
  <si>
    <t>Materials</t>
  </si>
  <si>
    <t>Sand</t>
  </si>
  <si>
    <t>m³</t>
  </si>
  <si>
    <t>Sulphate resisting Portland cement</t>
  </si>
  <si>
    <t>t</t>
  </si>
  <si>
    <t>Concrete, class C8/10</t>
  </si>
  <si>
    <t>Concrete, class C10/15</t>
  </si>
  <si>
    <t>Concrete, class C25/30</t>
  </si>
  <si>
    <t>Concrete, class C30/37</t>
  </si>
  <si>
    <t>Concrete, class C35/45</t>
  </si>
  <si>
    <t>Steel reinforcement</t>
  </si>
  <si>
    <t>Crushed sand</t>
  </si>
  <si>
    <t>Crushed course aggregate</t>
  </si>
  <si>
    <t>Crushed fine aggregate</t>
  </si>
  <si>
    <t>Prime coat RC 30</t>
  </si>
  <si>
    <t>m²</t>
  </si>
  <si>
    <t>Asphalt road base</t>
  </si>
  <si>
    <t>Bituminous binder course</t>
  </si>
  <si>
    <t>Bituminous surface (wearing) course</t>
  </si>
  <si>
    <t>Road marking paint</t>
  </si>
  <si>
    <t>kg</t>
  </si>
  <si>
    <t>Total Price Material</t>
  </si>
  <si>
    <t>Allowable % Mark-up for materials delivered to site under CIF INCO term</t>
  </si>
  <si>
    <t>Total Price of Materials including total % mark-up</t>
  </si>
  <si>
    <t>Equipment</t>
  </si>
  <si>
    <t>These rates shall include for all operation and maintenance costs, fuel, oil, operators. Only the time employed will be paid for.</t>
  </si>
  <si>
    <t>Wheel loader</t>
  </si>
  <si>
    <t>Bulldozer</t>
  </si>
  <si>
    <t>Excavator</t>
  </si>
  <si>
    <t>Dumper truck 4 m³</t>
  </si>
  <si>
    <t>Dumper truck  8 m³</t>
  </si>
  <si>
    <t>Wheel tractor 40 to 50 hp</t>
  </si>
  <si>
    <t>Wheel tractor over 50 hp</t>
  </si>
  <si>
    <t>Water tanker over 6 m³</t>
  </si>
  <si>
    <t>Air compressor incl. hoses, hammers, chisels (7 m³/min)</t>
  </si>
  <si>
    <t>Jack hammer</t>
  </si>
  <si>
    <t>Concrete mixer</t>
  </si>
  <si>
    <t>Concrete vibrating device</t>
  </si>
  <si>
    <t>Dumper</t>
  </si>
  <si>
    <t>Pick up</t>
  </si>
  <si>
    <t>Crane lifting capacity 10 t</t>
  </si>
  <si>
    <t>Crane lifting capacity over 10 t</t>
  </si>
  <si>
    <t>Plate vibrator</t>
  </si>
  <si>
    <t>Rammer</t>
  </si>
  <si>
    <t>Drainage Pump, 10 l/s</t>
  </si>
  <si>
    <t>Sewage Pump, 10 l/s</t>
  </si>
  <si>
    <t>Total Price Equipment</t>
  </si>
  <si>
    <t>Others</t>
  </si>
  <si>
    <t>Vehicle-Mounted powered core hole drilling equipmen, diameter up to 150 mm, wall thickeness up to 40 cm</t>
  </si>
  <si>
    <t>Hand dug trial holes for pipe bedding verification</t>
  </si>
  <si>
    <t>no.</t>
  </si>
  <si>
    <r>
      <t>OSEC system for 100 m3 reservoirs, including building construction,</t>
    </r>
    <r>
      <rPr>
        <sz val="11"/>
        <color theme="1"/>
        <rFont val="Calibri"/>
        <family val="2"/>
        <scheme val="minor"/>
      </rPr>
      <t xml:space="preserve"> commissioning and testing and all associated cost whatsoever.</t>
    </r>
  </si>
  <si>
    <t>LS</t>
  </si>
  <si>
    <r>
      <t>OSEC system for 200 m3 reservoirs, including building construction,</t>
    </r>
    <r>
      <rPr>
        <sz val="11"/>
        <color theme="1"/>
        <rFont val="Calibri"/>
        <family val="2"/>
        <scheme val="minor"/>
      </rPr>
      <t xml:space="preserve"> commissioning and testing and all associated cost whatsoever.</t>
    </r>
  </si>
  <si>
    <t>Residual Chlorine Analyzer</t>
  </si>
  <si>
    <t>Total Price Others</t>
  </si>
  <si>
    <t xml:space="preserve">Dayworks </t>
  </si>
  <si>
    <t>Item#</t>
  </si>
  <si>
    <t>Unit</t>
  </si>
  <si>
    <t>Quantity ა</t>
  </si>
  <si>
    <t xml:space="preserve">Price per unit </t>
  </si>
  <si>
    <t xml:space="preserve">Total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</si>
</sst>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409]#,##0.00"/>
  </numFmts>
  <fonts count="6" x14ac:knownFonts="1">
    <font>
      <sz val="11"/>
      <color theme="1"/>
      <name val="Calibri"/>
      <family val="2"/>
      <scheme val="minor"/>
    </font>
    <font>
      <sz val="11"/>
      <color theme="1"/>
      <name val="Calibri"/>
      <family val="2"/>
      <scheme val="minor"/>
    </font>
    <font>
      <b/>
      <u/>
      <sz val="14"/>
      <color theme="1"/>
      <name val="Calibri"/>
      <family val="1"/>
      <scheme val="minor"/>
    </font>
    <font>
      <b/>
      <sz val="11"/>
      <color theme="1"/>
      <name val="Calibri"/>
      <family val="1"/>
      <scheme val="minor"/>
    </font>
    <font>
      <b/>
      <sz val="12"/>
      <color theme="1"/>
      <name val="Calibri"/>
      <family val="1"/>
      <scheme val="minor"/>
    </font>
    <font>
      <sz val="11"/>
      <name val="Calibri"/>
      <family val="2"/>
      <scheme val="minor"/>
    </font>
  </fonts>
  <fills count="2">
    <fill>
      <patternFill patternType="none"/>
    </fill>
    <fill>
      <patternFill patternType="gray125"/>
    </fill>
  </fills>
  <borders count="21">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diagonalUp="1">
      <left style="thin">
        <color auto="1"/>
      </left>
      <right style="medium">
        <color auto="1"/>
      </right>
      <top style="thin">
        <color auto="1"/>
      </top>
      <bottom style="thin">
        <color auto="1"/>
      </bottom>
      <diagonal style="thin">
        <color auto="1"/>
      </diagonal>
    </border>
    <border>
      <left style="thin">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xf numFmtId="164" fontId="1" fillId="0" borderId="0" applyFont="0" applyFill="0" applyBorder="0" applyAlignment="0" applyProtection="0"/>
  </cellStyleXfs>
  <cellXfs count="46">
    <xf numFmtId="0" fontId="0" fillId="0" borderId="0" xfId="0"/>
    <xf numFmtId="0" fontId="3" fillId="0" borderId="4" xfId="0" applyFont="1" applyBorder="1" applyAlignment="1">
      <alignment horizontal="center" vertical="center"/>
    </xf>
    <xf numFmtId="0" fontId="3" fillId="0" borderId="5" xfId="0" applyFont="1" applyBorder="1" applyAlignment="1">
      <alignment horizontal="center" vertical="center"/>
    </xf>
    <xf numFmtId="164" fontId="4" fillId="0" borderId="6" xfId="0" applyNumberFormat="1" applyFont="1" applyBorder="1" applyAlignment="1">
      <alignment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164" fontId="3" fillId="0" borderId="8" xfId="0" applyNumberFormat="1" applyFont="1" applyBorder="1" applyAlignment="1">
      <alignment horizontal="center" vertical="center" wrapText="1"/>
    </xf>
    <xf numFmtId="164" fontId="3" fillId="0" borderId="9" xfId="0" applyNumberFormat="1" applyFont="1" applyBorder="1" applyAlignment="1">
      <alignment horizontal="center" vertical="center" wrapText="1"/>
    </xf>
    <xf numFmtId="0" fontId="3" fillId="0" borderId="10" xfId="0" applyFont="1" applyBorder="1" applyAlignment="1">
      <alignment horizontal="center" vertical="center"/>
    </xf>
    <xf numFmtId="0" fontId="0" fillId="0" borderId="11" xfId="0" applyBorder="1" applyAlignment="1">
      <alignment vertical="top" wrapText="1"/>
    </xf>
    <xf numFmtId="0" fontId="0" fillId="0" borderId="11" xfId="0" applyBorder="1" applyAlignment="1">
      <alignment horizontal="center" vertical="center"/>
    </xf>
    <xf numFmtId="164" fontId="0" fillId="0" borderId="11" xfId="0" applyNumberFormat="1" applyBorder="1" applyAlignment="1">
      <alignment horizontal="right" vertical="center"/>
    </xf>
    <xf numFmtId="164" fontId="0" fillId="0" borderId="11" xfId="0" applyNumberFormat="1" applyBorder="1" applyAlignment="1" applyProtection="1">
      <alignment horizontal="right" vertical="center"/>
      <protection locked="0"/>
    </xf>
    <xf numFmtId="165" fontId="0" fillId="0" borderId="12" xfId="0" applyNumberFormat="1" applyBorder="1" applyAlignment="1">
      <alignment horizontal="right" vertical="center"/>
    </xf>
    <xf numFmtId="0" fontId="0" fillId="0" borderId="10" xfId="0" applyBorder="1" applyAlignment="1">
      <alignment horizontal="center" vertical="center"/>
    </xf>
    <xf numFmtId="0" fontId="3" fillId="0" borderId="11" xfId="0" applyFont="1" applyBorder="1" applyAlignment="1">
      <alignment horizontal="left" vertical="center"/>
    </xf>
    <xf numFmtId="1" fontId="0" fillId="0" borderId="10" xfId="0" applyNumberFormat="1" applyBorder="1" applyAlignment="1">
      <alignment horizontal="center" vertical="center"/>
    </xf>
    <xf numFmtId="0" fontId="0" fillId="0" borderId="11" xfId="0" applyBorder="1" applyAlignment="1">
      <alignment horizontal="left" vertical="center"/>
    </xf>
    <xf numFmtId="164" fontId="0" fillId="0" borderId="13" xfId="1" applyFont="1" applyFill="1" applyBorder="1" applyAlignment="1">
      <alignment vertical="center"/>
    </xf>
    <xf numFmtId="0" fontId="3" fillId="0" borderId="11" xfId="0" applyFont="1" applyBorder="1" applyAlignment="1">
      <alignment horizontal="left" vertical="center" wrapText="1"/>
    </xf>
    <xf numFmtId="164" fontId="0" fillId="0" borderId="17" xfId="0" applyNumberFormat="1" applyBorder="1" applyAlignment="1" applyProtection="1">
      <alignment horizontal="right" vertical="center"/>
      <protection locked="0"/>
    </xf>
    <xf numFmtId="2" fontId="0" fillId="0" borderId="10" xfId="0" applyNumberFormat="1" applyBorder="1" applyAlignment="1">
      <alignment horizontal="center" vertical="center"/>
    </xf>
    <xf numFmtId="164" fontId="3" fillId="0" borderId="13" xfId="0" applyNumberFormat="1" applyFont="1" applyBorder="1" applyAlignment="1">
      <alignment vertical="center"/>
    </xf>
    <xf numFmtId="10" fontId="3" fillId="0" borderId="13" xfId="0" applyNumberFormat="1" applyFont="1" applyBorder="1" applyAlignment="1" applyProtection="1">
      <alignment vertical="center"/>
      <protection locked="0"/>
    </xf>
    <xf numFmtId="1" fontId="3" fillId="0" borderId="10" xfId="0" applyNumberFormat="1" applyFont="1" applyBorder="1" applyAlignment="1">
      <alignment horizontal="center" vertical="center"/>
    </xf>
    <xf numFmtId="0" fontId="5" fillId="0" borderId="11" xfId="0" applyFont="1" applyBorder="1" applyAlignment="1">
      <alignment horizontal="justify" vertical="top" wrapText="1"/>
    </xf>
    <xf numFmtId="0" fontId="0" fillId="0" borderId="11" xfId="0" applyBorder="1" applyAlignment="1">
      <alignment horizontal="left" vertical="center" wrapText="1"/>
    </xf>
    <xf numFmtId="164" fontId="0" fillId="0" borderId="13" xfId="0" applyNumberFormat="1" applyBorder="1" applyAlignment="1">
      <alignment vertical="center"/>
    </xf>
    <xf numFmtId="0" fontId="3" fillId="0" borderId="11" xfId="0" applyFont="1" applyBorder="1" applyAlignment="1">
      <alignment horizontal="right" vertical="center"/>
    </xf>
    <xf numFmtId="0" fontId="0" fillId="0" borderId="11" xfId="0" applyBorder="1" applyAlignment="1">
      <alignment horizontal="left" vertical="top" wrapText="1"/>
    </xf>
    <xf numFmtId="2" fontId="0" fillId="0" borderId="18" xfId="0" applyNumberFormat="1" applyBorder="1" applyAlignment="1">
      <alignment horizontal="center" vertical="center"/>
    </xf>
    <xf numFmtId="0" fontId="3" fillId="0" borderId="19" xfId="0" applyFont="1" applyBorder="1" applyAlignment="1">
      <alignment horizontal="left" vertical="center"/>
    </xf>
    <xf numFmtId="164" fontId="0" fillId="0" borderId="20" xfId="0" applyNumberFormat="1" applyBorder="1" applyAlignment="1">
      <alignment vertical="center"/>
    </xf>
    <xf numFmtId="0" fontId="0" fillId="0" borderId="0" xfId="0" applyAlignment="1">
      <alignment horizontal="center"/>
    </xf>
    <xf numFmtId="164" fontId="0" fillId="0" borderId="0" xfId="0" applyNumberFormat="1"/>
    <xf numFmtId="0" fontId="0" fillId="0" borderId="0" xfId="0" applyAlignment="1">
      <alignment vertical="center"/>
    </xf>
    <xf numFmtId="0" fontId="3" fillId="0" borderId="11" xfId="0" applyFont="1" applyBorder="1" applyAlignment="1">
      <alignment horizontal="right" vertical="center"/>
    </xf>
    <xf numFmtId="0" fontId="3" fillId="0" borderId="19" xfId="0" applyFont="1" applyBorder="1" applyAlignment="1">
      <alignment horizontal="righ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3" fillId="0" borderId="5" xfId="0" applyFont="1" applyBorder="1" applyAlignment="1">
      <alignment horizontal="right" vertical="center"/>
    </xf>
    <xf numFmtId="0" fontId="3" fillId="0" borderId="14" xfId="0" applyFont="1" applyBorder="1" applyAlignment="1">
      <alignment horizontal="right" vertical="center"/>
    </xf>
    <xf numFmtId="0" fontId="3" fillId="0" borderId="15" xfId="0" applyFont="1" applyBorder="1" applyAlignment="1">
      <alignment horizontal="right" vertical="center"/>
    </xf>
    <xf numFmtId="0" fontId="3" fillId="0" borderId="16" xfId="0" applyFont="1" applyBorder="1" applyAlignment="1">
      <alignment horizontal="righ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46624-3452-49C1-982E-EA381B87D6AA}">
  <sheetPr>
    <tabColor rgb="FF002060"/>
    <pageSetUpPr fitToPage="1"/>
  </sheetPr>
  <dimension ref="B1:G59"/>
  <sheetViews>
    <sheetView showGridLines="0" tabSelected="1" view="pageBreakPreview" zoomScale="85" zoomScaleNormal="100" zoomScaleSheetLayoutView="85" workbookViewId="0">
      <pane ySplit="3" topLeftCell="A55" activePane="bottomLeft" state="frozen"/>
      <selection activeCell="K25" sqref="K25"/>
      <selection pane="bottomLeft" activeCell="C12" sqref="C12"/>
    </sheetView>
  </sheetViews>
  <sheetFormatPr defaultColWidth="8.85546875" defaultRowHeight="15" x14ac:dyDescent="0.25"/>
  <cols>
    <col min="1" max="1" width="2.85546875" customWidth="1"/>
    <col min="2" max="2" width="8.5703125" style="34" customWidth="1"/>
    <col min="3" max="3" width="40.5703125" customWidth="1"/>
    <col min="4" max="4" width="9.42578125" customWidth="1"/>
    <col min="5" max="5" width="12.5703125" style="35" customWidth="1"/>
    <col min="6" max="6" width="15.140625" style="35" customWidth="1"/>
    <col min="7" max="7" width="15.28515625" style="36" bestFit="1" customWidth="1"/>
    <col min="8" max="8" width="13.140625" customWidth="1"/>
  </cols>
  <sheetData>
    <row r="1" spans="2:7" ht="29.45" customHeight="1" thickBot="1" x14ac:dyDescent="0.3">
      <c r="B1" s="39" t="s">
        <v>66</v>
      </c>
      <c r="C1" s="40"/>
      <c r="D1" s="40"/>
      <c r="E1" s="40"/>
      <c r="F1" s="40"/>
      <c r="G1" s="41"/>
    </row>
    <row r="2" spans="2:7" ht="16.5" thickBot="1" x14ac:dyDescent="0.3">
      <c r="B2" s="1" t="s">
        <v>0</v>
      </c>
      <c r="C2" s="2" t="s">
        <v>1</v>
      </c>
      <c r="D2" s="42" t="str">
        <f>"Total Price (EUR)"</f>
        <v>Total Price (EUR)</v>
      </c>
      <c r="E2" s="42"/>
      <c r="F2" s="42"/>
      <c r="G2" s="3">
        <f>G9+G29+G52+G59</f>
        <v>1185575</v>
      </c>
    </row>
    <row r="3" spans="2:7" x14ac:dyDescent="0.25">
      <c r="B3" s="4" t="s">
        <v>67</v>
      </c>
      <c r="C3" s="5" t="s">
        <v>2</v>
      </c>
      <c r="D3" s="6" t="s">
        <v>68</v>
      </c>
      <c r="E3" s="7" t="s">
        <v>69</v>
      </c>
      <c r="F3" s="7" t="s">
        <v>70</v>
      </c>
      <c r="G3" s="8" t="s">
        <v>71</v>
      </c>
    </row>
    <row r="4" spans="2:7" ht="90" x14ac:dyDescent="0.25">
      <c r="B4" s="9"/>
      <c r="C4" s="10" t="s">
        <v>3</v>
      </c>
      <c r="D4" s="11"/>
      <c r="E4" s="12"/>
      <c r="F4" s="13"/>
      <c r="G4" s="14"/>
    </row>
    <row r="5" spans="2:7" x14ac:dyDescent="0.25">
      <c r="B5" s="15"/>
      <c r="C5" s="16" t="s">
        <v>4</v>
      </c>
      <c r="D5" s="11"/>
      <c r="E5" s="12"/>
      <c r="F5" s="12"/>
      <c r="G5" s="14"/>
    </row>
    <row r="6" spans="2:7" x14ac:dyDescent="0.25">
      <c r="B6" s="17">
        <v>1</v>
      </c>
      <c r="C6" s="18" t="s">
        <v>5</v>
      </c>
      <c r="D6" s="11" t="s">
        <v>6</v>
      </c>
      <c r="E6" s="12">
        <v>1000</v>
      </c>
      <c r="F6" s="13">
        <v>4</v>
      </c>
      <c r="G6" s="19">
        <f>ROUND(E6*F6,2)</f>
        <v>4000</v>
      </c>
    </row>
    <row r="7" spans="2:7" x14ac:dyDescent="0.25">
      <c r="B7" s="17">
        <f>B6+1</f>
        <v>2</v>
      </c>
      <c r="C7" s="18" t="s">
        <v>7</v>
      </c>
      <c r="D7" s="11" t="s">
        <v>6</v>
      </c>
      <c r="E7" s="12">
        <v>700</v>
      </c>
      <c r="F7" s="13">
        <v>6</v>
      </c>
      <c r="G7" s="19">
        <f>ROUND(E7*F7,2)</f>
        <v>4200</v>
      </c>
    </row>
    <row r="8" spans="2:7" x14ac:dyDescent="0.25">
      <c r="B8" s="17">
        <f>B7+1</f>
        <v>3</v>
      </c>
      <c r="C8" s="18" t="s">
        <v>8</v>
      </c>
      <c r="D8" s="11" t="s">
        <v>6</v>
      </c>
      <c r="E8" s="12">
        <v>500</v>
      </c>
      <c r="F8" s="13">
        <v>15</v>
      </c>
      <c r="G8" s="19">
        <f>ROUND(E8*F8,2)</f>
        <v>7500</v>
      </c>
    </row>
    <row r="9" spans="2:7" x14ac:dyDescent="0.25">
      <c r="B9" s="17"/>
      <c r="C9" s="18"/>
      <c r="D9" s="43" t="s">
        <v>9</v>
      </c>
      <c r="E9" s="44"/>
      <c r="F9" s="45"/>
      <c r="G9" s="19">
        <f>SUM(G6:G8)</f>
        <v>15700</v>
      </c>
    </row>
    <row r="10" spans="2:7" x14ac:dyDescent="0.25">
      <c r="B10" s="17"/>
      <c r="C10" s="20" t="s">
        <v>10</v>
      </c>
      <c r="D10" s="11"/>
      <c r="E10" s="12"/>
      <c r="F10" s="12"/>
      <c r="G10" s="21"/>
    </row>
    <row r="11" spans="2:7" x14ac:dyDescent="0.25">
      <c r="B11" s="17">
        <f>B8+1</f>
        <v>4</v>
      </c>
      <c r="C11" s="18" t="s">
        <v>11</v>
      </c>
      <c r="D11" s="11" t="s">
        <v>12</v>
      </c>
      <c r="E11" s="12">
        <v>200</v>
      </c>
      <c r="F11" s="13">
        <v>25</v>
      </c>
      <c r="G11" s="19">
        <f>ROUND(E11*F11,2)</f>
        <v>5000</v>
      </c>
    </row>
    <row r="12" spans="2:7" x14ac:dyDescent="0.25">
      <c r="B12" s="17">
        <f>B11+1</f>
        <v>5</v>
      </c>
      <c r="C12" s="18" t="s">
        <v>13</v>
      </c>
      <c r="D12" s="11" t="s">
        <v>14</v>
      </c>
      <c r="E12" s="12">
        <v>100</v>
      </c>
      <c r="F12" s="13">
        <v>100</v>
      </c>
      <c r="G12" s="19">
        <f t="shared" ref="G12:G26" si="0">ROUND(E12*F12,2)</f>
        <v>10000</v>
      </c>
    </row>
    <row r="13" spans="2:7" x14ac:dyDescent="0.25">
      <c r="B13" s="17">
        <f t="shared" ref="B13:B26" si="1">B12+1</f>
        <v>6</v>
      </c>
      <c r="C13" s="18" t="s">
        <v>15</v>
      </c>
      <c r="D13" s="11" t="s">
        <v>12</v>
      </c>
      <c r="E13" s="12">
        <v>150</v>
      </c>
      <c r="F13" s="13">
        <v>90</v>
      </c>
      <c r="G13" s="19">
        <f t="shared" si="0"/>
        <v>13500</v>
      </c>
    </row>
    <row r="14" spans="2:7" x14ac:dyDescent="0.25">
      <c r="B14" s="17">
        <f t="shared" si="1"/>
        <v>7</v>
      </c>
      <c r="C14" s="18" t="s">
        <v>16</v>
      </c>
      <c r="D14" s="11" t="s">
        <v>12</v>
      </c>
      <c r="E14" s="12">
        <v>100</v>
      </c>
      <c r="F14" s="13">
        <v>100</v>
      </c>
      <c r="G14" s="19">
        <f t="shared" si="0"/>
        <v>10000</v>
      </c>
    </row>
    <row r="15" spans="2:7" x14ac:dyDescent="0.25">
      <c r="B15" s="17">
        <f t="shared" si="1"/>
        <v>8</v>
      </c>
      <c r="C15" s="18" t="s">
        <v>17</v>
      </c>
      <c r="D15" s="11" t="s">
        <v>12</v>
      </c>
      <c r="E15" s="12">
        <v>100</v>
      </c>
      <c r="F15" s="13">
        <v>110</v>
      </c>
      <c r="G15" s="19">
        <f t="shared" si="0"/>
        <v>11000</v>
      </c>
    </row>
    <row r="16" spans="2:7" x14ac:dyDescent="0.25">
      <c r="B16" s="17">
        <f t="shared" si="1"/>
        <v>9</v>
      </c>
      <c r="C16" s="18" t="s">
        <v>18</v>
      </c>
      <c r="D16" s="11" t="s">
        <v>12</v>
      </c>
      <c r="E16" s="12">
        <v>100</v>
      </c>
      <c r="F16" s="13">
        <v>120</v>
      </c>
      <c r="G16" s="19">
        <f t="shared" si="0"/>
        <v>12000</v>
      </c>
    </row>
    <row r="17" spans="2:7" x14ac:dyDescent="0.25">
      <c r="B17" s="17">
        <f t="shared" si="1"/>
        <v>10</v>
      </c>
      <c r="C17" s="18" t="s">
        <v>19</v>
      </c>
      <c r="D17" s="11" t="s">
        <v>12</v>
      </c>
      <c r="E17" s="12">
        <v>100</v>
      </c>
      <c r="F17" s="13">
        <v>130</v>
      </c>
      <c r="G17" s="19">
        <f t="shared" si="0"/>
        <v>13000</v>
      </c>
    </row>
    <row r="18" spans="2:7" x14ac:dyDescent="0.25">
      <c r="B18" s="17">
        <f t="shared" si="1"/>
        <v>11</v>
      </c>
      <c r="C18" s="18" t="s">
        <v>20</v>
      </c>
      <c r="D18" s="11" t="s">
        <v>14</v>
      </c>
      <c r="E18" s="12">
        <v>20</v>
      </c>
      <c r="F18" s="13">
        <v>1000</v>
      </c>
      <c r="G18" s="19">
        <f t="shared" si="0"/>
        <v>20000</v>
      </c>
    </row>
    <row r="19" spans="2:7" x14ac:dyDescent="0.25">
      <c r="B19" s="17">
        <f t="shared" si="1"/>
        <v>12</v>
      </c>
      <c r="C19" s="18" t="s">
        <v>21</v>
      </c>
      <c r="D19" s="11" t="s">
        <v>12</v>
      </c>
      <c r="E19" s="12">
        <v>100</v>
      </c>
      <c r="F19" s="13">
        <v>20</v>
      </c>
      <c r="G19" s="19">
        <f t="shared" si="0"/>
        <v>2000</v>
      </c>
    </row>
    <row r="20" spans="2:7" x14ac:dyDescent="0.25">
      <c r="B20" s="17">
        <f t="shared" si="1"/>
        <v>13</v>
      </c>
      <c r="C20" s="18" t="s">
        <v>22</v>
      </c>
      <c r="D20" s="11" t="s">
        <v>12</v>
      </c>
      <c r="E20" s="12">
        <v>500</v>
      </c>
      <c r="F20" s="13">
        <v>15</v>
      </c>
      <c r="G20" s="19">
        <f t="shared" si="0"/>
        <v>7500</v>
      </c>
    </row>
    <row r="21" spans="2:7" x14ac:dyDescent="0.25">
      <c r="B21" s="17">
        <f t="shared" si="1"/>
        <v>14</v>
      </c>
      <c r="C21" s="18" t="s">
        <v>23</v>
      </c>
      <c r="D21" s="11" t="s">
        <v>12</v>
      </c>
      <c r="E21" s="12">
        <v>300</v>
      </c>
      <c r="F21" s="13">
        <v>18</v>
      </c>
      <c r="G21" s="19">
        <f t="shared" si="0"/>
        <v>5400</v>
      </c>
    </row>
    <row r="22" spans="2:7" x14ac:dyDescent="0.25">
      <c r="B22" s="17">
        <f t="shared" si="1"/>
        <v>15</v>
      </c>
      <c r="C22" s="18" t="s">
        <v>24</v>
      </c>
      <c r="D22" s="11" t="s">
        <v>25</v>
      </c>
      <c r="E22" s="12">
        <v>30</v>
      </c>
      <c r="F22" s="13">
        <v>15</v>
      </c>
      <c r="G22" s="19">
        <f t="shared" si="0"/>
        <v>450</v>
      </c>
    </row>
    <row r="23" spans="2:7" x14ac:dyDescent="0.25">
      <c r="B23" s="17">
        <f t="shared" si="1"/>
        <v>16</v>
      </c>
      <c r="C23" s="18" t="s">
        <v>26</v>
      </c>
      <c r="D23" s="11" t="s">
        <v>14</v>
      </c>
      <c r="E23" s="12">
        <v>180</v>
      </c>
      <c r="F23" s="13">
        <v>80</v>
      </c>
      <c r="G23" s="19">
        <f t="shared" si="0"/>
        <v>14400</v>
      </c>
    </row>
    <row r="24" spans="2:7" x14ac:dyDescent="0.25">
      <c r="B24" s="17">
        <f t="shared" si="1"/>
        <v>17</v>
      </c>
      <c r="C24" s="18" t="s">
        <v>27</v>
      </c>
      <c r="D24" s="11" t="s">
        <v>14</v>
      </c>
      <c r="E24" s="12">
        <v>180</v>
      </c>
      <c r="F24" s="13">
        <v>90</v>
      </c>
      <c r="G24" s="19">
        <f t="shared" si="0"/>
        <v>16200</v>
      </c>
    </row>
    <row r="25" spans="2:7" x14ac:dyDescent="0.25">
      <c r="B25" s="17">
        <f t="shared" si="1"/>
        <v>18</v>
      </c>
      <c r="C25" s="18" t="s">
        <v>28</v>
      </c>
      <c r="D25" s="11" t="s">
        <v>14</v>
      </c>
      <c r="E25" s="12">
        <v>180</v>
      </c>
      <c r="F25" s="13">
        <v>100</v>
      </c>
      <c r="G25" s="19">
        <f t="shared" si="0"/>
        <v>18000</v>
      </c>
    </row>
    <row r="26" spans="2:7" x14ac:dyDescent="0.25">
      <c r="B26" s="17">
        <f t="shared" si="1"/>
        <v>19</v>
      </c>
      <c r="C26" s="18" t="s">
        <v>29</v>
      </c>
      <c r="D26" s="11" t="s">
        <v>30</v>
      </c>
      <c r="E26" s="12">
        <v>30</v>
      </c>
      <c r="F26" s="13">
        <v>10</v>
      </c>
      <c r="G26" s="19">
        <f t="shared" si="0"/>
        <v>300</v>
      </c>
    </row>
    <row r="27" spans="2:7" x14ac:dyDescent="0.25">
      <c r="B27" s="22"/>
      <c r="C27" s="18"/>
      <c r="D27" s="43" t="s">
        <v>31</v>
      </c>
      <c r="E27" s="44"/>
      <c r="F27" s="45"/>
      <c r="G27" s="23">
        <f>SUM(G11:G26)</f>
        <v>158750</v>
      </c>
    </row>
    <row r="28" spans="2:7" x14ac:dyDescent="0.25">
      <c r="B28" s="22"/>
      <c r="C28" s="43" t="s">
        <v>32</v>
      </c>
      <c r="D28" s="44"/>
      <c r="E28" s="44"/>
      <c r="F28" s="45"/>
      <c r="G28" s="24">
        <v>0.1</v>
      </c>
    </row>
    <row r="29" spans="2:7" x14ac:dyDescent="0.25">
      <c r="B29" s="22"/>
      <c r="C29" s="43" t="s">
        <v>33</v>
      </c>
      <c r="D29" s="44"/>
      <c r="E29" s="44"/>
      <c r="F29" s="45"/>
      <c r="G29" s="23">
        <f>ROUND((G27+(G27*G28)),2)</f>
        <v>174625</v>
      </c>
    </row>
    <row r="30" spans="2:7" x14ac:dyDescent="0.25">
      <c r="B30" s="17"/>
      <c r="C30" s="16" t="s">
        <v>34</v>
      </c>
      <c r="D30" s="11"/>
      <c r="E30" s="12"/>
      <c r="F30" s="12"/>
      <c r="G30" s="14"/>
    </row>
    <row r="31" spans="2:7" ht="45" x14ac:dyDescent="0.25">
      <c r="B31" s="25"/>
      <c r="C31" s="26" t="s">
        <v>35</v>
      </c>
      <c r="D31" s="11"/>
      <c r="E31" s="12"/>
      <c r="F31" s="13"/>
      <c r="G31" s="14"/>
    </row>
    <row r="32" spans="2:7" x14ac:dyDescent="0.25">
      <c r="B32" s="17">
        <f>B26+1</f>
        <v>20</v>
      </c>
      <c r="C32" s="18" t="s">
        <v>36</v>
      </c>
      <c r="D32" s="11" t="s">
        <v>6</v>
      </c>
      <c r="E32" s="12">
        <v>200</v>
      </c>
      <c r="F32" s="13">
        <v>50</v>
      </c>
      <c r="G32" s="19">
        <f t="shared" ref="G32:G51" si="2">ROUND(E32*F32,2)</f>
        <v>10000</v>
      </c>
    </row>
    <row r="33" spans="2:7" x14ac:dyDescent="0.25">
      <c r="B33" s="17">
        <f>B32+1</f>
        <v>21</v>
      </c>
      <c r="C33" s="18" t="s">
        <v>37</v>
      </c>
      <c r="D33" s="11" t="s">
        <v>6</v>
      </c>
      <c r="E33" s="12">
        <v>200</v>
      </c>
      <c r="F33" s="13">
        <v>100</v>
      </c>
      <c r="G33" s="19">
        <f t="shared" si="2"/>
        <v>20000</v>
      </c>
    </row>
    <row r="34" spans="2:7" x14ac:dyDescent="0.25">
      <c r="B34" s="17">
        <f t="shared" ref="B34:B51" si="3">B33+1</f>
        <v>22</v>
      </c>
      <c r="C34" s="18" t="s">
        <v>38</v>
      </c>
      <c r="D34" s="11" t="s">
        <v>6</v>
      </c>
      <c r="E34" s="12">
        <v>1000</v>
      </c>
      <c r="F34" s="13">
        <v>100</v>
      </c>
      <c r="G34" s="19">
        <f t="shared" si="2"/>
        <v>100000</v>
      </c>
    </row>
    <row r="35" spans="2:7" x14ac:dyDescent="0.25">
      <c r="B35" s="17">
        <f t="shared" si="3"/>
        <v>23</v>
      </c>
      <c r="C35" s="18" t="s">
        <v>39</v>
      </c>
      <c r="D35" s="11" t="s">
        <v>6</v>
      </c>
      <c r="E35" s="12">
        <v>1000</v>
      </c>
      <c r="F35" s="13">
        <v>35</v>
      </c>
      <c r="G35" s="19">
        <f t="shared" si="2"/>
        <v>35000</v>
      </c>
    </row>
    <row r="36" spans="2:7" x14ac:dyDescent="0.25">
      <c r="B36" s="17">
        <f t="shared" si="3"/>
        <v>24</v>
      </c>
      <c r="C36" s="18" t="s">
        <v>40</v>
      </c>
      <c r="D36" s="11" t="s">
        <v>6</v>
      </c>
      <c r="E36" s="12">
        <v>150</v>
      </c>
      <c r="F36" s="13">
        <v>45</v>
      </c>
      <c r="G36" s="19">
        <f t="shared" si="2"/>
        <v>6750</v>
      </c>
    </row>
    <row r="37" spans="2:7" x14ac:dyDescent="0.25">
      <c r="B37" s="17">
        <f t="shared" si="3"/>
        <v>25</v>
      </c>
      <c r="C37" s="18" t="s">
        <v>41</v>
      </c>
      <c r="D37" s="11" t="s">
        <v>6</v>
      </c>
      <c r="E37" s="12">
        <v>150</v>
      </c>
      <c r="F37" s="13">
        <v>40</v>
      </c>
      <c r="G37" s="19">
        <f t="shared" si="2"/>
        <v>6000</v>
      </c>
    </row>
    <row r="38" spans="2:7" x14ac:dyDescent="0.25">
      <c r="B38" s="17">
        <f t="shared" si="3"/>
        <v>26</v>
      </c>
      <c r="C38" s="18" t="s">
        <v>42</v>
      </c>
      <c r="D38" s="11" t="s">
        <v>6</v>
      </c>
      <c r="E38" s="12">
        <v>150</v>
      </c>
      <c r="F38" s="13">
        <v>50</v>
      </c>
      <c r="G38" s="19">
        <f t="shared" si="2"/>
        <v>7500</v>
      </c>
    </row>
    <row r="39" spans="2:7" x14ac:dyDescent="0.25">
      <c r="B39" s="17">
        <f t="shared" si="3"/>
        <v>27</v>
      </c>
      <c r="C39" s="18" t="s">
        <v>43</v>
      </c>
      <c r="D39" s="11" t="s">
        <v>6</v>
      </c>
      <c r="E39" s="12">
        <v>150</v>
      </c>
      <c r="F39" s="13">
        <v>50</v>
      </c>
      <c r="G39" s="19">
        <f t="shared" si="2"/>
        <v>7500</v>
      </c>
    </row>
    <row r="40" spans="2:7" ht="30" x14ac:dyDescent="0.25">
      <c r="B40" s="17">
        <f t="shared" si="3"/>
        <v>28</v>
      </c>
      <c r="C40" s="27" t="s">
        <v>44</v>
      </c>
      <c r="D40" s="11" t="s">
        <v>6</v>
      </c>
      <c r="E40" s="12">
        <v>2000</v>
      </c>
      <c r="F40" s="13">
        <v>20</v>
      </c>
      <c r="G40" s="19">
        <f t="shared" si="2"/>
        <v>40000</v>
      </c>
    </row>
    <row r="41" spans="2:7" x14ac:dyDescent="0.25">
      <c r="B41" s="17">
        <f t="shared" si="3"/>
        <v>29</v>
      </c>
      <c r="C41" s="18" t="s">
        <v>45</v>
      </c>
      <c r="D41" s="11" t="s">
        <v>6</v>
      </c>
      <c r="E41" s="12">
        <v>2000</v>
      </c>
      <c r="F41" s="13">
        <v>150</v>
      </c>
      <c r="G41" s="19">
        <f t="shared" si="2"/>
        <v>300000</v>
      </c>
    </row>
    <row r="42" spans="2:7" x14ac:dyDescent="0.25">
      <c r="B42" s="17">
        <f t="shared" si="3"/>
        <v>30</v>
      </c>
      <c r="C42" s="18" t="s">
        <v>46</v>
      </c>
      <c r="D42" s="11" t="s">
        <v>6</v>
      </c>
      <c r="E42" s="12">
        <v>1500</v>
      </c>
      <c r="F42" s="13">
        <v>50</v>
      </c>
      <c r="G42" s="19">
        <f t="shared" si="2"/>
        <v>75000</v>
      </c>
    </row>
    <row r="43" spans="2:7" x14ac:dyDescent="0.25">
      <c r="B43" s="17">
        <f t="shared" si="3"/>
        <v>31</v>
      </c>
      <c r="C43" s="18" t="s">
        <v>47</v>
      </c>
      <c r="D43" s="11" t="s">
        <v>6</v>
      </c>
      <c r="E43" s="12">
        <v>1500</v>
      </c>
      <c r="F43" s="13">
        <v>5</v>
      </c>
      <c r="G43" s="19">
        <f t="shared" si="2"/>
        <v>7500</v>
      </c>
    </row>
    <row r="44" spans="2:7" x14ac:dyDescent="0.25">
      <c r="B44" s="17">
        <f t="shared" si="3"/>
        <v>32</v>
      </c>
      <c r="C44" s="18" t="s">
        <v>48</v>
      </c>
      <c r="D44" s="11" t="s">
        <v>6</v>
      </c>
      <c r="E44" s="12">
        <v>1500</v>
      </c>
      <c r="F44" s="13">
        <v>50</v>
      </c>
      <c r="G44" s="19">
        <f t="shared" si="2"/>
        <v>75000</v>
      </c>
    </row>
    <row r="45" spans="2:7" x14ac:dyDescent="0.25">
      <c r="B45" s="17">
        <f t="shared" si="3"/>
        <v>33</v>
      </c>
      <c r="C45" s="18" t="s">
        <v>49</v>
      </c>
      <c r="D45" s="11" t="s">
        <v>6</v>
      </c>
      <c r="E45" s="12">
        <v>1000</v>
      </c>
      <c r="F45" s="13">
        <v>10</v>
      </c>
      <c r="G45" s="19">
        <f t="shared" si="2"/>
        <v>10000</v>
      </c>
    </row>
    <row r="46" spans="2:7" x14ac:dyDescent="0.25">
      <c r="B46" s="17">
        <f t="shared" si="3"/>
        <v>34</v>
      </c>
      <c r="C46" s="18" t="s">
        <v>50</v>
      </c>
      <c r="D46" s="11" t="s">
        <v>6</v>
      </c>
      <c r="E46" s="12">
        <v>400</v>
      </c>
      <c r="F46" s="13">
        <v>100</v>
      </c>
      <c r="G46" s="19">
        <f t="shared" si="2"/>
        <v>40000</v>
      </c>
    </row>
    <row r="47" spans="2:7" x14ac:dyDescent="0.25">
      <c r="B47" s="17">
        <f t="shared" si="3"/>
        <v>35</v>
      </c>
      <c r="C47" s="18" t="s">
        <v>51</v>
      </c>
      <c r="D47" s="11" t="s">
        <v>6</v>
      </c>
      <c r="E47" s="12">
        <v>400</v>
      </c>
      <c r="F47" s="13">
        <v>150</v>
      </c>
      <c r="G47" s="19">
        <f t="shared" si="2"/>
        <v>60000</v>
      </c>
    </row>
    <row r="48" spans="2:7" x14ac:dyDescent="0.25">
      <c r="B48" s="17">
        <f t="shared" si="3"/>
        <v>36</v>
      </c>
      <c r="C48" s="18" t="s">
        <v>52</v>
      </c>
      <c r="D48" s="11" t="s">
        <v>6</v>
      </c>
      <c r="E48" s="12">
        <v>1000</v>
      </c>
      <c r="F48" s="13">
        <v>10</v>
      </c>
      <c r="G48" s="19">
        <f t="shared" si="2"/>
        <v>10000</v>
      </c>
    </row>
    <row r="49" spans="2:7" x14ac:dyDescent="0.25">
      <c r="B49" s="17">
        <f t="shared" si="3"/>
        <v>37</v>
      </c>
      <c r="C49" s="18" t="s">
        <v>53</v>
      </c>
      <c r="D49" s="11" t="s">
        <v>6</v>
      </c>
      <c r="E49" s="12">
        <v>1000</v>
      </c>
      <c r="F49" s="13">
        <v>50</v>
      </c>
      <c r="G49" s="19">
        <f t="shared" si="2"/>
        <v>50000</v>
      </c>
    </row>
    <row r="50" spans="2:7" x14ac:dyDescent="0.25">
      <c r="B50" s="17">
        <f t="shared" si="3"/>
        <v>38</v>
      </c>
      <c r="C50" s="18" t="s">
        <v>54</v>
      </c>
      <c r="D50" s="11" t="s">
        <v>6</v>
      </c>
      <c r="E50" s="12">
        <v>1000</v>
      </c>
      <c r="F50" s="13">
        <v>5</v>
      </c>
      <c r="G50" s="19">
        <f t="shared" si="2"/>
        <v>5000</v>
      </c>
    </row>
    <row r="51" spans="2:7" x14ac:dyDescent="0.25">
      <c r="B51" s="17">
        <f t="shared" si="3"/>
        <v>39</v>
      </c>
      <c r="C51" s="18" t="s">
        <v>55</v>
      </c>
      <c r="D51" s="11" t="s">
        <v>6</v>
      </c>
      <c r="E51" s="12">
        <v>1000</v>
      </c>
      <c r="F51" s="13">
        <v>10</v>
      </c>
      <c r="G51" s="19">
        <f t="shared" si="2"/>
        <v>10000</v>
      </c>
    </row>
    <row r="52" spans="2:7" x14ac:dyDescent="0.25">
      <c r="B52" s="22"/>
      <c r="C52" s="16"/>
      <c r="D52" s="37" t="s">
        <v>56</v>
      </c>
      <c r="E52" s="37"/>
      <c r="F52" s="37"/>
      <c r="G52" s="28">
        <f>SUM(G32:G51)</f>
        <v>875250</v>
      </c>
    </row>
    <row r="53" spans="2:7" x14ac:dyDescent="0.25">
      <c r="B53" s="22"/>
      <c r="C53" s="16" t="s">
        <v>57</v>
      </c>
      <c r="D53" s="29"/>
      <c r="E53" s="29"/>
      <c r="F53" s="29"/>
      <c r="G53" s="14"/>
    </row>
    <row r="54" spans="2:7" ht="45" x14ac:dyDescent="0.25">
      <c r="B54" s="17">
        <f>B51+1</f>
        <v>40</v>
      </c>
      <c r="C54" s="30" t="s">
        <v>58</v>
      </c>
      <c r="D54" s="11" t="s">
        <v>6</v>
      </c>
      <c r="E54" s="12">
        <v>200</v>
      </c>
      <c r="F54" s="13">
        <v>25</v>
      </c>
      <c r="G54" s="19">
        <f>ROUND(E54*F54,2)</f>
        <v>5000</v>
      </c>
    </row>
    <row r="55" spans="2:7" ht="30" x14ac:dyDescent="0.25">
      <c r="B55" s="17">
        <f>B54+1</f>
        <v>41</v>
      </c>
      <c r="C55" s="30" t="s">
        <v>59</v>
      </c>
      <c r="D55" s="11" t="s">
        <v>60</v>
      </c>
      <c r="E55" s="12">
        <v>50</v>
      </c>
      <c r="F55" s="13">
        <v>500</v>
      </c>
      <c r="G55" s="19">
        <f>ROUND(E55*F55,2)</f>
        <v>25000</v>
      </c>
    </row>
    <row r="56" spans="2:7" ht="60.75" customHeight="1" x14ac:dyDescent="0.25">
      <c r="B56" s="17">
        <f>B55+1</f>
        <v>42</v>
      </c>
      <c r="C56" s="30" t="s">
        <v>61</v>
      </c>
      <c r="D56" s="11" t="s">
        <v>62</v>
      </c>
      <c r="E56" s="12">
        <v>1</v>
      </c>
      <c r="F56" s="13">
        <v>40000</v>
      </c>
      <c r="G56" s="19">
        <f>ROUND(E56*F56,2)</f>
        <v>40000</v>
      </c>
    </row>
    <row r="57" spans="2:7" ht="60" customHeight="1" x14ac:dyDescent="0.25">
      <c r="B57" s="17">
        <f>B56+1</f>
        <v>43</v>
      </c>
      <c r="C57" s="30" t="s">
        <v>63</v>
      </c>
      <c r="D57" s="11" t="s">
        <v>62</v>
      </c>
      <c r="E57" s="12">
        <v>1</v>
      </c>
      <c r="F57" s="13">
        <v>50000</v>
      </c>
      <c r="G57" s="19">
        <f>ROUND(E57*F57,2)</f>
        <v>50000</v>
      </c>
    </row>
    <row r="58" spans="2:7" x14ac:dyDescent="0.25">
      <c r="B58" s="17">
        <f>B57+1</f>
        <v>44</v>
      </c>
      <c r="C58" s="27" t="s">
        <v>64</v>
      </c>
      <c r="D58" s="11" t="s">
        <v>60</v>
      </c>
      <c r="E58" s="12">
        <v>1</v>
      </c>
      <c r="F58" s="13"/>
      <c r="G58" s="19">
        <f>ROUND(E58*F58,2)</f>
        <v>0</v>
      </c>
    </row>
    <row r="59" spans="2:7" ht="15.75" thickBot="1" x14ac:dyDescent="0.3">
      <c r="B59" s="31"/>
      <c r="C59" s="32"/>
      <c r="D59" s="38" t="s">
        <v>65</v>
      </c>
      <c r="E59" s="38"/>
      <c r="F59" s="38"/>
      <c r="G59" s="33">
        <f>SUM(G54:G58)</f>
        <v>120000</v>
      </c>
    </row>
  </sheetData>
  <mergeCells count="8">
    <mergeCell ref="D52:F52"/>
    <mergeCell ref="D59:F59"/>
    <mergeCell ref="B1:G1"/>
    <mergeCell ref="D2:F2"/>
    <mergeCell ref="D9:F9"/>
    <mergeCell ref="D27:F27"/>
    <mergeCell ref="C28:F28"/>
    <mergeCell ref="C29:F29"/>
  </mergeCells>
  <pageMargins left="0.70866141732283505" right="0.70866141732283505" top="0.74803149606299202" bottom="0.74803149606299202" header="0.31496062992126" footer="0.31496062992126"/>
  <pageSetup paperSize="9" scale="85" firstPageNumber="23" fitToHeight="0" orientation="portrait" useFirstPageNumber="1" r:id="rId1"/>
  <headerFooter>
    <oddHeader>&amp;LSection IV. Bidding Forms&amp;CBill of Quantities LOT 2A&amp;R&amp;P</oddHeader>
    <oddFooter>&amp;LRural Ajara Programme LOT2 (ICB - 505 447)&amp;RBidding Documents</oddFooter>
  </headerFooter>
  <colBreaks count="1" manualBreakCount="1">
    <brk id="7" max="5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DW</vt:lpstr>
      <vt:lpstr>DW!Print_Area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Irakli Gogichaishvili</dc:creator>
  <cp:lastModifiedBy>Irakli Gogichaishvili</cp:lastModifiedBy>
  <dcterms:created xsi:type="dcterms:W3CDTF">2025-10-02T07:05:42Z</dcterms:created>
  <dcterms:modified xsi:type="dcterms:W3CDTF">2025-10-02T07:13:36Z</dcterms:modified>
</cp:coreProperties>
</file>