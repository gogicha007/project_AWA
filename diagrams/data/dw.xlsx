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0"/>
  </bookViews>
  <sheets>
    <sheet r:id="rId1" sheetId="1" name="DW"/>
  </sheets>
  <definedNames>
    <definedName name="_xlnm.Print_Area" localSheetId="0">DW!$B$1:$G$59</definedName>
  </definedNames>
  <calcPr fullCalcOnLoad="1"/>
</workbook>
</file>

<file path=xl/sharedStrings.xml><?xml version="1.0" encoding="utf-8"?>
<sst xmlns="http://schemas.openxmlformats.org/spreadsheetml/2006/main" count="109" uniqueCount="72">
  <si>
    <t xml:space="preserve">Dayworks </t>
  </si>
  <si>
    <t>DW</t>
  </si>
  <si>
    <t>Dayworks</t>
  </si>
  <si>
    <t>Item#</t>
  </si>
  <si>
    <t>Description of work</t>
  </si>
  <si>
    <t>Unit</t>
  </si>
  <si>
    <t>Quantity</t>
  </si>
  <si>
    <t xml:space="preserve">Price per unit </t>
  </si>
  <si>
    <t xml:space="preserve">Total price </t>
  </si>
  <si>
    <t>The rates for dayworks shall be rates for provision, transport to site, tools, etc. including social costs for labour and contractors' overhead and profit and allowable profit on materials deliverd to site, all as described in the preamble</t>
  </si>
  <si>
    <t>Labour</t>
  </si>
  <si>
    <t>Unskilled labour</t>
  </si>
  <si>
    <t>h</t>
  </si>
  <si>
    <t>Skilled labour</t>
  </si>
  <si>
    <t>Foreman</t>
  </si>
  <si>
    <t>Total Price Labour</t>
  </si>
  <si>
    <t>Materials</t>
  </si>
  <si>
    <t>Sand</t>
  </si>
  <si>
    <t>m³</t>
  </si>
  <si>
    <t>Sulphate resisting Portland cement</t>
  </si>
  <si>
    <t>t</t>
  </si>
  <si>
    <t>Concrete, class C8/10</t>
  </si>
  <si>
    <t>Concrete, class C10/15</t>
  </si>
  <si>
    <t>Concrete, class C25/30</t>
  </si>
  <si>
    <t>Concrete, class C30/37</t>
  </si>
  <si>
    <t>Concrete, class C35/45</t>
  </si>
  <si>
    <t>Steel reinforcement</t>
  </si>
  <si>
    <t>Crushed sand</t>
  </si>
  <si>
    <t>Crushed course aggregate</t>
  </si>
  <si>
    <t>Crushed fine aggregate</t>
  </si>
  <si>
    <t>Prime coat RC 30</t>
  </si>
  <si>
    <t>m²</t>
  </si>
  <si>
    <t>Asphalt road base</t>
  </si>
  <si>
    <t>Bituminous binder course</t>
  </si>
  <si>
    <t>Bituminous surface (wearing) course</t>
  </si>
  <si>
    <t>Road marking paint</t>
  </si>
  <si>
    <t>kg</t>
  </si>
  <si>
    <t>Total Price Material</t>
  </si>
  <si>
    <t>Allowable % Mark-up for materials delivered to site under CIF INCO term</t>
  </si>
  <si>
    <t>Total Price of Materials including total % mark-up</t>
  </si>
  <si>
    <t>Equipment</t>
  </si>
  <si>
    <t>These rates shall include for all operation and maintenance costs, fuel, oil, operators. Only the time employed will be paid for.</t>
  </si>
  <si>
    <t>Wheel loader</t>
  </si>
  <si>
    <t>Bulldozer</t>
  </si>
  <si>
    <t>Excavator</t>
  </si>
  <si>
    <t>Dumper truck 4 m³</t>
  </si>
  <si>
    <t>Dumper truck  8 m³</t>
  </si>
  <si>
    <t>Wheel tractor 40 to 50 hp</t>
  </si>
  <si>
    <t>Wheel tractor over 50 hp</t>
  </si>
  <si>
    <t>Water tanker over 6 m³</t>
  </si>
  <si>
    <t>Air compressor incl. hoses, hammers, chisels (7 m³/min)</t>
  </si>
  <si>
    <t>Jack hammer</t>
  </si>
  <si>
    <t>Concrete mixer</t>
  </si>
  <si>
    <t>Concrete vibrating device</t>
  </si>
  <si>
    <t>Dumper</t>
  </si>
  <si>
    <t>Pick up</t>
  </si>
  <si>
    <t>Crane lifting capacity 10 t</t>
  </si>
  <si>
    <t>Crane lifting capacity over 10 t</t>
  </si>
  <si>
    <t>Plate vibrator</t>
  </si>
  <si>
    <t>Rammer</t>
  </si>
  <si>
    <t>Drainage Pump, 10 l/s</t>
  </si>
  <si>
    <t>Sewage Pump, 10 l/s</t>
  </si>
  <si>
    <t>Total Price Equipment</t>
  </si>
  <si>
    <t>Others</t>
  </si>
  <si>
    <t>Vehicle-Mounted powered core hole drilling equipmen, diameter up to 150 mm, wall thickeness up to 40 cm</t>
  </si>
  <si>
    <t>Hand dug trial holes for pipe bedding verification</t>
  </si>
  <si>
    <t>no.</t>
  </si>
  <si>
    <r>
      <t>OSEC system for 100 m3 reservoirs, including building construction,</t>
    </r>
    <r>
      <rPr>
        <sz val="11"/>
        <color rgb="FF000000"/>
        <rFont val="Calibri"/>
        <family val="2"/>
        <scheme val="minor"/>
      </rPr>
      <t xml:space="preserve"> commissioning and testing and all associated cost whatsoever.</t>
    </r>
  </si>
  <si>
    <t>LS</t>
  </si>
  <si>
    <r>
      <t>OSEC system for 200 m3 reservoirs, including building construction,</t>
    </r>
    <r>
      <rPr>
        <sz val="11"/>
        <color rgb="FF000000"/>
        <rFont val="Calibri"/>
        <family val="2"/>
        <scheme val="minor"/>
      </rPr>
      <t xml:space="preserve"> commissioning and testing and all associated cost whatsoever.</t>
    </r>
  </si>
  <si>
    <t>Residual Chlorine Analyzer</t>
  </si>
  <si>
    <t>Total Price Others</t>
  </si>
</sst>
</file>

<file path=xl/styles.xml><?xml version="1.0" encoding="utf-8"?>
<styleSheet xmlns="http://schemas.openxmlformats.org/spreadsheetml/2006/main" xmlns:x14ac="http://schemas.microsoft.com/office/spreadsheetml/2009/9/ac" xmlns:mc="http://schemas.openxmlformats.org/markup-compatibility/2006" mc:Ignorable="x14ac">
  <numFmts count="1">
    <numFmt numFmtId="164" formatCode="#,##0.00%"/>
  </numFmts>
  <fonts count="6" x14ac:knownFonts="1">
    <font>
      <sz val="11"/>
      <color theme="1"/>
      <name val="Calibri"/>
      <family val="2"/>
      <scheme val="minor"/>
    </font>
    <font>
      <b/>
      <u/>
      <sz val="14"/>
      <color rgb="FF000000"/>
      <name val="Calibri"/>
      <family val="2"/>
    </font>
    <font>
      <b/>
      <sz val="11"/>
      <color rgb="FF000000"/>
      <name val="Calibri"/>
      <family val="2"/>
    </font>
    <font>
      <b/>
      <sz val="12"/>
      <color rgb="FF000000"/>
      <name val="Calibri"/>
      <family val="2"/>
    </font>
    <font>
      <sz val="11"/>
      <color theme="1"/>
      <name val="Calibri"/>
      <family val="2"/>
    </font>
    <font>
      <sz val="11"/>
      <color theme="1"/>
      <name val="Calibri"/>
      <family val="2"/>
    </font>
  </fonts>
  <fills count="2">
    <fill>
      <patternFill patternType="none"/>
    </fill>
    <fill>
      <patternFill patternType="gray125"/>
    </fill>
  </fills>
  <borders count="19">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s>
  <cellStyleXfs count="1">
    <xf numFmtId="0" fontId="0" fillId="0" borderId="0"/>
  </cellStyleXfs>
  <cellXfs count="46">
    <xf xfId="0" numFmtId="0" borderId="0" fontId="0" fillId="0"/>
    <xf xfId="0" numFmtId="0" borderId="0" fontId="0" fillId="0" applyAlignment="1">
      <alignment horizontal="general"/>
    </xf>
    <xf xfId="0" numFmtId="1" applyNumberFormat="1" borderId="1" applyBorder="1" fontId="1" applyFont="1" fillId="0" applyAlignment="1">
      <alignment horizontal="center"/>
    </xf>
    <xf xfId="0" numFmtId="0" borderId="2" applyBorder="1" fontId="1" applyFont="1" fillId="0" applyAlignment="1">
      <alignment horizontal="center"/>
    </xf>
    <xf xfId="0" numFmtId="4" applyNumberFormat="1" borderId="2" applyBorder="1" fontId="1" applyFont="1" fillId="0" applyAlignment="1">
      <alignment horizontal="center"/>
    </xf>
    <xf xfId="0" numFmtId="4" applyNumberFormat="1" borderId="3" applyBorder="1" fontId="1" applyFont="1" fillId="0" applyAlignment="1">
      <alignment horizontal="center"/>
    </xf>
    <xf xfId="0" numFmtId="1" applyNumberFormat="1" borderId="4" applyBorder="1" fontId="2" applyFont="1" fillId="0" applyAlignment="1">
      <alignment horizontal="center"/>
    </xf>
    <xf xfId="0" numFmtId="0" borderId="5" applyBorder="1" fontId="2" applyFont="1" fillId="0" applyAlignment="1">
      <alignment horizontal="center"/>
    </xf>
    <xf xfId="0" numFmtId="0" borderId="5" applyBorder="1" fontId="2" applyFont="1" fillId="0" applyAlignment="1">
      <alignment horizontal="right"/>
    </xf>
    <xf xfId="0" numFmtId="4" applyNumberFormat="1" borderId="5" applyBorder="1" fontId="2" applyFont="1" fillId="0" applyAlignment="1">
      <alignment horizontal="right"/>
    </xf>
    <xf xfId="0" numFmtId="4" applyNumberFormat="1" borderId="6" applyBorder="1" fontId="3" applyFont="1" fillId="0" applyAlignment="1">
      <alignment horizontal="right"/>
    </xf>
    <xf xfId="0" numFmtId="1" applyNumberFormat="1" borderId="7" applyBorder="1" fontId="2" applyFont="1" fillId="0" applyAlignment="1">
      <alignment horizontal="center" wrapText="1"/>
    </xf>
    <xf xfId="0" numFmtId="0" borderId="8" applyBorder="1" fontId="2" applyFont="1" fillId="0" applyAlignment="1">
      <alignment horizontal="center"/>
    </xf>
    <xf xfId="0" numFmtId="0" borderId="8" applyBorder="1" fontId="2" applyFont="1" fillId="0" applyAlignment="1">
      <alignment horizontal="center" wrapText="1"/>
    </xf>
    <xf xfId="0" numFmtId="4" applyNumberFormat="1" borderId="8" applyBorder="1" fontId="2" applyFont="1" fillId="0" applyAlignment="1">
      <alignment horizontal="center" wrapText="1"/>
    </xf>
    <xf xfId="0" numFmtId="4" applyNumberFormat="1" borderId="9" applyBorder="1" fontId="2" applyFont="1" fillId="0" applyAlignment="1">
      <alignment horizontal="center" wrapText="1"/>
    </xf>
    <xf xfId="0" numFmtId="1" applyNumberFormat="1" borderId="10" applyBorder="1" fontId="2" applyFont="1" fillId="0" applyAlignment="1">
      <alignment horizontal="center"/>
    </xf>
    <xf xfId="0" numFmtId="0" borderId="11" applyBorder="1" fontId="4" applyFont="1" fillId="0" applyAlignment="1">
      <alignment horizontal="left" wrapText="1"/>
    </xf>
    <xf xfId="0" numFmtId="0" borderId="11" applyBorder="1" fontId="4" applyFont="1" fillId="0" applyAlignment="1">
      <alignment horizontal="center"/>
    </xf>
    <xf xfId="0" numFmtId="4" applyNumberFormat="1" borderId="11" applyBorder="1" fontId="4" applyFont="1" fillId="0" applyAlignment="1">
      <alignment horizontal="right"/>
    </xf>
    <xf xfId="0" numFmtId="7" applyNumberFormat="1" borderId="12" applyBorder="1" fontId="4" applyFont="1" fillId="0" applyAlignment="1">
      <alignment horizontal="right"/>
    </xf>
    <xf xfId="0" numFmtId="1" applyNumberFormat="1" borderId="10" applyBorder="1" fontId="4" applyFont="1" fillId="0" applyAlignment="1">
      <alignment horizontal="center"/>
    </xf>
    <xf xfId="0" numFmtId="0" borderId="11" applyBorder="1" fontId="2" applyFont="1" fillId="0" applyAlignment="1">
      <alignment horizontal="left"/>
    </xf>
    <xf xfId="0" numFmtId="0" borderId="11" applyBorder="1" fontId="4" applyFont="1" fillId="0" applyAlignment="1">
      <alignment horizontal="left"/>
    </xf>
    <xf xfId="0" numFmtId="4" applyNumberFormat="1" borderId="12" applyBorder="1" fontId="4" applyFont="1" fillId="0" applyAlignment="1">
      <alignment horizontal="right"/>
    </xf>
    <xf xfId="0" numFmtId="0" borderId="13" applyBorder="1" fontId="2" applyFont="1" fillId="0" applyAlignment="1">
      <alignment horizontal="right"/>
    </xf>
    <xf xfId="0" numFmtId="4" applyNumberFormat="1" borderId="14" applyBorder="1" fontId="2" applyFont="1" fillId="0" applyAlignment="1">
      <alignment horizontal="right"/>
    </xf>
    <xf xfId="0" numFmtId="4" applyNumberFormat="1" borderId="15" applyBorder="1" fontId="2" applyFont="1" fillId="0" applyAlignment="1">
      <alignment horizontal="right"/>
    </xf>
    <xf xfId="0" numFmtId="0" borderId="11" applyBorder="1" fontId="2" applyFont="1" fillId="0" applyAlignment="1">
      <alignment horizontal="left" wrapText="1"/>
    </xf>
    <xf xfId="0" numFmtId="4" applyNumberFormat="1" borderId="10" applyBorder="1" fontId="4" applyFont="1" fillId="0" applyAlignment="1">
      <alignment horizontal="center"/>
    </xf>
    <xf xfId="0" numFmtId="4" applyNumberFormat="1" borderId="12" applyBorder="1" fontId="2" applyFont="1" fillId="0" applyAlignment="1">
      <alignment horizontal="right"/>
    </xf>
    <xf xfId="0" numFmtId="0" borderId="14" applyBorder="1" fontId="2" applyFont="1" fillId="0" applyAlignment="1">
      <alignment horizontal="right"/>
    </xf>
    <xf xfId="0" numFmtId="164" applyNumberFormat="1" borderId="12" applyBorder="1" fontId="2" applyFont="1" fillId="0" applyAlignment="1">
      <alignment horizontal="right"/>
    </xf>
    <xf xfId="0" numFmtId="0" borderId="11" applyBorder="1" fontId="5" applyFont="1" fillId="0" applyAlignment="1">
      <alignment horizontal="justify" wrapText="1"/>
    </xf>
    <xf xfId="0" numFmtId="0" borderId="11" applyBorder="1" fontId="2" applyFont="1" fillId="0" applyAlignment="1">
      <alignment horizontal="right"/>
    </xf>
    <xf xfId="0" numFmtId="4" applyNumberFormat="1" borderId="11" applyBorder="1" fontId="2" applyFont="1" fillId="0" applyAlignment="1">
      <alignment horizontal="right"/>
    </xf>
    <xf xfId="0" numFmtId="4" applyNumberFormat="1" borderId="16" applyBorder="1" fontId="4" applyFont="1" fillId="0" applyAlignment="1">
      <alignment horizontal="center"/>
    </xf>
    <xf xfId="0" numFmtId="0" borderId="17" applyBorder="1" fontId="2" applyFont="1" fillId="0" applyAlignment="1">
      <alignment horizontal="left"/>
    </xf>
    <xf xfId="0" numFmtId="0" borderId="17" applyBorder="1" fontId="2" applyFont="1" fillId="0" applyAlignment="1">
      <alignment horizontal="right"/>
    </xf>
    <xf xfId="0" numFmtId="4" applyNumberFormat="1" borderId="17" applyBorder="1" fontId="2" applyFont="1" fillId="0" applyAlignment="1">
      <alignment horizontal="right"/>
    </xf>
    <xf xfId="0" numFmtId="4" applyNumberFormat="1" borderId="18" applyBorder="1" fontId="4" applyFont="1" fillId="0" applyAlignment="1">
      <alignment horizontal="right"/>
    </xf>
    <xf xfId="0" numFmtId="0" borderId="0" fontId="0" fillId="0" applyAlignment="1">
      <alignment horizontal="general"/>
    </xf>
    <xf xfId="0" numFmtId="1" applyNumberFormat="1" borderId="0" fontId="0" fillId="0" applyAlignment="1">
      <alignment horizontal="center"/>
    </xf>
    <xf xfId="0" numFmtId="0" borderId="0" fontId="0" fillId="0" applyAlignment="1">
      <alignment horizontal="left"/>
    </xf>
    <xf xfId="0" numFmtId="0" borderId="0" fontId="0" fillId="0" applyAlignment="1">
      <alignment horizontal="right"/>
    </xf>
    <xf xfId="0" numFmtId="4" applyNumberFormat="1" borderId="0" fontId="0" fillId="0" applyAlignment="1">
      <alignment horizontal="right"/>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sharedStrings.xml" Type="http://schemas.openxmlformats.org/officeDocument/2006/relationships/sharedStrings" Id="rId2"/><Relationship Target="styles.xml" Type="http://schemas.openxmlformats.org/officeDocument/2006/relationships/styles" Id="rId3"/><Relationship Target="theme/theme1.xml" Type="http://schemas.openxmlformats.org/officeDocument/2006/relationships/theme" Id="rId4"/></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59"/>
  <sheetViews>
    <sheetView workbookViewId="0" tabSelected="1">
      <pane state="frozen" activePane="bottomLeft" topLeftCell="A4" ySplit="3" xSplit="0"/>
    </sheetView>
  </sheetViews>
  <sheetFormatPr defaultRowHeight="15" x14ac:dyDescent="0.25"/>
  <cols>
    <col min="1" max="1" style="41" width="2.862142857142857" customWidth="1" bestFit="1"/>
    <col min="2" max="2" style="42" width="8.576428571428572" customWidth="1" bestFit="1"/>
    <col min="3" max="3" style="43" width="40.57642857142857" customWidth="1" bestFit="1"/>
    <col min="4" max="4" style="44" width="9.43357142857143" customWidth="1" bestFit="1"/>
    <col min="5" max="5" style="45" width="12.576428571428572" customWidth="1" bestFit="1"/>
    <col min="6" max="6" style="45" width="15.147857142857141" customWidth="1" bestFit="1"/>
    <col min="7" max="7" style="45" width="15.290714285714287" customWidth="1" bestFit="1"/>
  </cols>
  <sheetData>
    <row x14ac:dyDescent="0.25" r="1" customHeight="1" ht="29.45">
      <c r="A1" s="1"/>
      <c r="B1" s="2" t="s">
        <v>0</v>
      </c>
      <c r="C1" s="3"/>
      <c r="D1" s="3"/>
      <c r="E1" s="4"/>
      <c r="F1" s="4"/>
      <c r="G1" s="5"/>
    </row>
    <row x14ac:dyDescent="0.25" r="2" customHeight="1" ht="18.75">
      <c r="A2" s="1"/>
      <c r="B2" s="6" t="s">
        <v>1</v>
      </c>
      <c r="C2" s="7" t="s">
        <v>2</v>
      </c>
      <c r="D2" s="8">
        <f>"Total Price (EUR)"</f>
      </c>
      <c r="E2" s="9"/>
      <c r="F2" s="9"/>
      <c r="G2" s="10">
        <f>G9+G29+G52+G59</f>
      </c>
    </row>
    <row x14ac:dyDescent="0.25" r="3" customHeight="1" ht="18.75">
      <c r="A3" s="1"/>
      <c r="B3" s="11" t="s">
        <v>3</v>
      </c>
      <c r="C3" s="12" t="s">
        <v>4</v>
      </c>
      <c r="D3" s="13" t="s">
        <v>5</v>
      </c>
      <c r="E3" s="14" t="s">
        <v>6</v>
      </c>
      <c r="F3" s="14" t="s">
        <v>7</v>
      </c>
      <c r="G3" s="15" t="s">
        <v>8</v>
      </c>
    </row>
    <row x14ac:dyDescent="0.25" r="4" customHeight="1" ht="82.5">
      <c r="A4" s="1"/>
      <c r="B4" s="16"/>
      <c r="C4" s="17" t="s">
        <v>9</v>
      </c>
      <c r="D4" s="18"/>
      <c r="E4" s="19"/>
      <c r="F4" s="19"/>
      <c r="G4" s="20"/>
    </row>
    <row x14ac:dyDescent="0.25" r="5" customHeight="1" ht="19.5">
      <c r="A5" s="1"/>
      <c r="B5" s="21"/>
      <c r="C5" s="22" t="s">
        <v>10</v>
      </c>
      <c r="D5" s="18"/>
      <c r="E5" s="19"/>
      <c r="F5" s="19"/>
      <c r="G5" s="20"/>
    </row>
    <row x14ac:dyDescent="0.25" r="6" customHeight="1" ht="18.75">
      <c r="A6" s="1"/>
      <c r="B6" s="21">
        <v>1</v>
      </c>
      <c r="C6" s="23" t="s">
        <v>11</v>
      </c>
      <c r="D6" s="18" t="s">
        <v>12</v>
      </c>
      <c r="E6" s="19">
        <v>1000</v>
      </c>
      <c r="F6" s="19">
        <v>4</v>
      </c>
      <c r="G6" s="24">
        <f>ROUND(E6*F6,2)</f>
      </c>
    </row>
    <row x14ac:dyDescent="0.25" r="7" customHeight="1" ht="18.75">
      <c r="A7" s="1"/>
      <c r="B7" s="21">
        <f>B6+1</f>
      </c>
      <c r="C7" s="23" t="s">
        <v>13</v>
      </c>
      <c r="D7" s="18" t="s">
        <v>12</v>
      </c>
      <c r="E7" s="19">
        <v>700</v>
      </c>
      <c r="F7" s="19">
        <v>6</v>
      </c>
      <c r="G7" s="24">
        <f>ROUND(E7*F7,2)</f>
      </c>
    </row>
    <row x14ac:dyDescent="0.25" r="8" customHeight="1" ht="18.75">
      <c r="A8" s="1"/>
      <c r="B8" s="21">
        <f>B7+1</f>
      </c>
      <c r="C8" s="23" t="s">
        <v>14</v>
      </c>
      <c r="D8" s="18" t="s">
        <v>12</v>
      </c>
      <c r="E8" s="19">
        <v>500</v>
      </c>
      <c r="F8" s="19">
        <v>15</v>
      </c>
      <c r="G8" s="24">
        <f>ROUND(E8*F8,2)</f>
      </c>
    </row>
    <row x14ac:dyDescent="0.25" r="9" customHeight="1" ht="19.5">
      <c r="A9" s="1"/>
      <c r="B9" s="21"/>
      <c r="C9" s="23"/>
      <c r="D9" s="25" t="s">
        <v>15</v>
      </c>
      <c r="E9" s="26"/>
      <c r="F9" s="27"/>
      <c r="G9" s="24">
        <f>SUM(G6:G8)</f>
      </c>
    </row>
    <row x14ac:dyDescent="0.25" r="10" customHeight="1" ht="19.5">
      <c r="A10" s="1"/>
      <c r="B10" s="21"/>
      <c r="C10" s="28" t="s">
        <v>16</v>
      </c>
      <c r="D10" s="18"/>
      <c r="E10" s="19"/>
      <c r="F10" s="19"/>
      <c r="G10" s="19"/>
    </row>
    <row x14ac:dyDescent="0.25" r="11" customHeight="1" ht="18.75">
      <c r="A11" s="1"/>
      <c r="B11" s="21">
        <f>B8+1</f>
      </c>
      <c r="C11" s="23" t="s">
        <v>17</v>
      </c>
      <c r="D11" s="18" t="s">
        <v>18</v>
      </c>
      <c r="E11" s="19">
        <v>200</v>
      </c>
      <c r="F11" s="19">
        <v>25</v>
      </c>
      <c r="G11" s="24">
        <f>ROUND(E11*F11,2)</f>
      </c>
    </row>
    <row x14ac:dyDescent="0.25" r="12" customHeight="1" ht="18.75">
      <c r="A12" s="1"/>
      <c r="B12" s="21">
        <f>B11+1</f>
      </c>
      <c r="C12" s="23" t="s">
        <v>19</v>
      </c>
      <c r="D12" s="18" t="s">
        <v>20</v>
      </c>
      <c r="E12" s="19">
        <v>100</v>
      </c>
      <c r="F12" s="19">
        <v>100</v>
      </c>
      <c r="G12" s="24">
        <f>ROUND(E12*F12,2)</f>
      </c>
    </row>
    <row x14ac:dyDescent="0.25" r="13" customHeight="1" ht="18.75">
      <c r="A13" s="1"/>
      <c r="B13" s="21">
        <f>B12+1</f>
      </c>
      <c r="C13" s="23" t="s">
        <v>21</v>
      </c>
      <c r="D13" s="18" t="s">
        <v>18</v>
      </c>
      <c r="E13" s="19">
        <v>150</v>
      </c>
      <c r="F13" s="19">
        <v>90</v>
      </c>
      <c r="G13" s="24">
        <f>ROUND(E13*F13,2)</f>
      </c>
    </row>
    <row x14ac:dyDescent="0.25" r="14" customHeight="1" ht="18.75">
      <c r="A14" s="1"/>
      <c r="B14" s="21">
        <f>B13+1</f>
      </c>
      <c r="C14" s="23" t="s">
        <v>22</v>
      </c>
      <c r="D14" s="18" t="s">
        <v>18</v>
      </c>
      <c r="E14" s="19">
        <v>100</v>
      </c>
      <c r="F14" s="19">
        <v>100</v>
      </c>
      <c r="G14" s="24">
        <f>ROUND(E14*F14,2)</f>
      </c>
    </row>
    <row x14ac:dyDescent="0.25" r="15" customHeight="1" ht="18.75">
      <c r="A15" s="1"/>
      <c r="B15" s="21">
        <f>B14+1</f>
      </c>
      <c r="C15" s="23" t="s">
        <v>23</v>
      </c>
      <c r="D15" s="18" t="s">
        <v>18</v>
      </c>
      <c r="E15" s="19">
        <v>100</v>
      </c>
      <c r="F15" s="19">
        <v>110</v>
      </c>
      <c r="G15" s="24">
        <f>ROUND(E15*F15,2)</f>
      </c>
    </row>
    <row x14ac:dyDescent="0.25" r="16" customHeight="1" ht="18.75">
      <c r="A16" s="1"/>
      <c r="B16" s="21">
        <f>B15+1</f>
      </c>
      <c r="C16" s="23" t="s">
        <v>24</v>
      </c>
      <c r="D16" s="18" t="s">
        <v>18</v>
      </c>
      <c r="E16" s="19">
        <v>100</v>
      </c>
      <c r="F16" s="19">
        <v>120</v>
      </c>
      <c r="G16" s="24">
        <f>ROUND(E16*F16,2)</f>
      </c>
    </row>
    <row x14ac:dyDescent="0.25" r="17" customHeight="1" ht="18.75">
      <c r="A17" s="1"/>
      <c r="B17" s="21">
        <f>B16+1</f>
      </c>
      <c r="C17" s="23" t="s">
        <v>25</v>
      </c>
      <c r="D17" s="18" t="s">
        <v>18</v>
      </c>
      <c r="E17" s="19">
        <v>100</v>
      </c>
      <c r="F17" s="19">
        <v>130</v>
      </c>
      <c r="G17" s="24">
        <f>ROUND(E17*F17,2)</f>
      </c>
    </row>
    <row x14ac:dyDescent="0.25" r="18" customHeight="1" ht="18.75">
      <c r="A18" s="1"/>
      <c r="B18" s="21">
        <f>B17+1</f>
      </c>
      <c r="C18" s="23" t="s">
        <v>26</v>
      </c>
      <c r="D18" s="18" t="s">
        <v>20</v>
      </c>
      <c r="E18" s="19">
        <v>20</v>
      </c>
      <c r="F18" s="19">
        <v>1000</v>
      </c>
      <c r="G18" s="24">
        <f>ROUND(E18*F18,2)</f>
      </c>
    </row>
    <row x14ac:dyDescent="0.25" r="19" customHeight="1" ht="18.75">
      <c r="A19" s="1"/>
      <c r="B19" s="21">
        <f>B18+1</f>
      </c>
      <c r="C19" s="23" t="s">
        <v>27</v>
      </c>
      <c r="D19" s="18" t="s">
        <v>18</v>
      </c>
      <c r="E19" s="19">
        <v>100</v>
      </c>
      <c r="F19" s="19">
        <v>20</v>
      </c>
      <c r="G19" s="24">
        <f>ROUND(E19*F19,2)</f>
      </c>
    </row>
    <row x14ac:dyDescent="0.25" r="20" customHeight="1" ht="18.75">
      <c r="A20" s="1"/>
      <c r="B20" s="21">
        <f>B19+1</f>
      </c>
      <c r="C20" s="23" t="s">
        <v>28</v>
      </c>
      <c r="D20" s="18" t="s">
        <v>18</v>
      </c>
      <c r="E20" s="19">
        <v>500</v>
      </c>
      <c r="F20" s="19">
        <v>15</v>
      </c>
      <c r="G20" s="24">
        <f>ROUND(E20*F20,2)</f>
      </c>
    </row>
    <row x14ac:dyDescent="0.25" r="21" customHeight="1" ht="18.75">
      <c r="A21" s="1"/>
      <c r="B21" s="21">
        <f>B20+1</f>
      </c>
      <c r="C21" s="23" t="s">
        <v>29</v>
      </c>
      <c r="D21" s="18" t="s">
        <v>18</v>
      </c>
      <c r="E21" s="19">
        <v>300</v>
      </c>
      <c r="F21" s="19">
        <v>18</v>
      </c>
      <c r="G21" s="24">
        <f>ROUND(E21*F21,2)</f>
      </c>
    </row>
    <row x14ac:dyDescent="0.25" r="22" customHeight="1" ht="18.75">
      <c r="A22" s="1"/>
      <c r="B22" s="21">
        <f>B21+1</f>
      </c>
      <c r="C22" s="23" t="s">
        <v>30</v>
      </c>
      <c r="D22" s="18" t="s">
        <v>31</v>
      </c>
      <c r="E22" s="19">
        <v>30</v>
      </c>
      <c r="F22" s="19">
        <v>15</v>
      </c>
      <c r="G22" s="24">
        <f>ROUND(E22*F22,2)</f>
      </c>
    </row>
    <row x14ac:dyDescent="0.25" r="23" customHeight="1" ht="18.75">
      <c r="A23" s="1"/>
      <c r="B23" s="21">
        <f>B22+1</f>
      </c>
      <c r="C23" s="23" t="s">
        <v>32</v>
      </c>
      <c r="D23" s="18" t="s">
        <v>20</v>
      </c>
      <c r="E23" s="19">
        <v>180</v>
      </c>
      <c r="F23" s="19">
        <v>80</v>
      </c>
      <c r="G23" s="24">
        <f>ROUND(E23*F23,2)</f>
      </c>
    </row>
    <row x14ac:dyDescent="0.25" r="24" customHeight="1" ht="18.75">
      <c r="A24" s="1"/>
      <c r="B24" s="21">
        <f>B23+1</f>
      </c>
      <c r="C24" s="23" t="s">
        <v>33</v>
      </c>
      <c r="D24" s="18" t="s">
        <v>20</v>
      </c>
      <c r="E24" s="19">
        <v>180</v>
      </c>
      <c r="F24" s="19">
        <v>90</v>
      </c>
      <c r="G24" s="24">
        <f>ROUND(E24*F24,2)</f>
      </c>
    </row>
    <row x14ac:dyDescent="0.25" r="25" customHeight="1" ht="18.75">
      <c r="A25" s="1"/>
      <c r="B25" s="21">
        <f>B24+1</f>
      </c>
      <c r="C25" s="23" t="s">
        <v>34</v>
      </c>
      <c r="D25" s="18" t="s">
        <v>20</v>
      </c>
      <c r="E25" s="19">
        <v>180</v>
      </c>
      <c r="F25" s="19">
        <v>100</v>
      </c>
      <c r="G25" s="24">
        <f>ROUND(E25*F25,2)</f>
      </c>
    </row>
    <row x14ac:dyDescent="0.25" r="26" customHeight="1" ht="18.75">
      <c r="A26" s="1"/>
      <c r="B26" s="21">
        <f>B25+1</f>
      </c>
      <c r="C26" s="23" t="s">
        <v>35</v>
      </c>
      <c r="D26" s="18" t="s">
        <v>36</v>
      </c>
      <c r="E26" s="19">
        <v>30</v>
      </c>
      <c r="F26" s="19">
        <v>10</v>
      </c>
      <c r="G26" s="24">
        <f>ROUND(E26*F26,2)</f>
      </c>
    </row>
    <row x14ac:dyDescent="0.25" r="27" customHeight="1" ht="18.75">
      <c r="A27" s="1"/>
      <c r="B27" s="29"/>
      <c r="C27" s="23"/>
      <c r="D27" s="25" t="s">
        <v>37</v>
      </c>
      <c r="E27" s="26"/>
      <c r="F27" s="27"/>
      <c r="G27" s="30">
        <f>SUM(G11:G26)</f>
      </c>
    </row>
    <row x14ac:dyDescent="0.25" r="28" customHeight="1" ht="18.75">
      <c r="A28" s="1"/>
      <c r="B28" s="29"/>
      <c r="C28" s="25" t="s">
        <v>38</v>
      </c>
      <c r="D28" s="31"/>
      <c r="E28" s="26"/>
      <c r="F28" s="27"/>
      <c r="G28" s="32">
        <v>0.1</v>
      </c>
    </row>
    <row x14ac:dyDescent="0.25" r="29" customHeight="1" ht="18.75">
      <c r="A29" s="1"/>
      <c r="B29" s="29"/>
      <c r="C29" s="25" t="s">
        <v>39</v>
      </c>
      <c r="D29" s="31"/>
      <c r="E29" s="26"/>
      <c r="F29" s="27"/>
      <c r="G29" s="30">
        <f>ROUND((G27+(G27*G28)),2)</f>
      </c>
    </row>
    <row x14ac:dyDescent="0.25" r="30" customHeight="1" ht="18.75">
      <c r="A30" s="1"/>
      <c r="B30" s="21"/>
      <c r="C30" s="22" t="s">
        <v>40</v>
      </c>
      <c r="D30" s="18"/>
      <c r="E30" s="19"/>
      <c r="F30" s="19"/>
      <c r="G30" s="20"/>
    </row>
    <row x14ac:dyDescent="0.25" r="31" customHeight="1" ht="18.75">
      <c r="A31" s="1"/>
      <c r="B31" s="16"/>
      <c r="C31" s="33" t="s">
        <v>41</v>
      </c>
      <c r="D31" s="18"/>
      <c r="E31" s="19"/>
      <c r="F31" s="19"/>
      <c r="G31" s="20"/>
    </row>
    <row x14ac:dyDescent="0.25" r="32" customHeight="1" ht="18.75">
      <c r="A32" s="1"/>
      <c r="B32" s="21">
        <f>B26+1</f>
      </c>
      <c r="C32" s="23" t="s">
        <v>42</v>
      </c>
      <c r="D32" s="18" t="s">
        <v>12</v>
      </c>
      <c r="E32" s="19">
        <v>200</v>
      </c>
      <c r="F32" s="19">
        <v>50</v>
      </c>
      <c r="G32" s="24">
        <f>ROUND(E32*F32,2)</f>
      </c>
    </row>
    <row x14ac:dyDescent="0.25" r="33" customHeight="1" ht="18.75">
      <c r="A33" s="1"/>
      <c r="B33" s="21">
        <f>B32+1</f>
      </c>
      <c r="C33" s="23" t="s">
        <v>43</v>
      </c>
      <c r="D33" s="18" t="s">
        <v>12</v>
      </c>
      <c r="E33" s="19">
        <v>200</v>
      </c>
      <c r="F33" s="19">
        <v>100</v>
      </c>
      <c r="G33" s="24">
        <f>ROUND(E33*F33,2)</f>
      </c>
    </row>
    <row x14ac:dyDescent="0.25" r="34" customHeight="1" ht="18.75">
      <c r="A34" s="1"/>
      <c r="B34" s="21">
        <f>B33+1</f>
      </c>
      <c r="C34" s="23" t="s">
        <v>44</v>
      </c>
      <c r="D34" s="18" t="s">
        <v>12</v>
      </c>
      <c r="E34" s="19">
        <v>1000</v>
      </c>
      <c r="F34" s="19">
        <v>100</v>
      </c>
      <c r="G34" s="24">
        <f>ROUND(E34*F34,2)</f>
      </c>
    </row>
    <row x14ac:dyDescent="0.25" r="35" customHeight="1" ht="18.75">
      <c r="A35" s="1"/>
      <c r="B35" s="21">
        <f>B34+1</f>
      </c>
      <c r="C35" s="23" t="s">
        <v>45</v>
      </c>
      <c r="D35" s="18" t="s">
        <v>12</v>
      </c>
      <c r="E35" s="19">
        <v>1000</v>
      </c>
      <c r="F35" s="19">
        <v>35</v>
      </c>
      <c r="G35" s="24">
        <f>ROUND(E35*F35,2)</f>
      </c>
    </row>
    <row x14ac:dyDescent="0.25" r="36" customHeight="1" ht="18.75">
      <c r="A36" s="1"/>
      <c r="B36" s="21">
        <f>B35+1</f>
      </c>
      <c r="C36" s="23" t="s">
        <v>46</v>
      </c>
      <c r="D36" s="18" t="s">
        <v>12</v>
      </c>
      <c r="E36" s="19">
        <v>150</v>
      </c>
      <c r="F36" s="19">
        <v>45</v>
      </c>
      <c r="G36" s="24">
        <f>ROUND(E36*F36,2)</f>
      </c>
    </row>
    <row x14ac:dyDescent="0.25" r="37" customHeight="1" ht="18.75">
      <c r="A37" s="1"/>
      <c r="B37" s="21">
        <f>B36+1</f>
      </c>
      <c r="C37" s="23" t="s">
        <v>47</v>
      </c>
      <c r="D37" s="18" t="s">
        <v>12</v>
      </c>
      <c r="E37" s="19">
        <v>150</v>
      </c>
      <c r="F37" s="19">
        <v>40</v>
      </c>
      <c r="G37" s="24">
        <f>ROUND(E37*F37,2)</f>
      </c>
    </row>
    <row x14ac:dyDescent="0.25" r="38" customHeight="1" ht="18.75">
      <c r="A38" s="1"/>
      <c r="B38" s="21">
        <f>B37+1</f>
      </c>
      <c r="C38" s="23" t="s">
        <v>48</v>
      </c>
      <c r="D38" s="18" t="s">
        <v>12</v>
      </c>
      <c r="E38" s="19">
        <v>150</v>
      </c>
      <c r="F38" s="19">
        <v>50</v>
      </c>
      <c r="G38" s="24">
        <f>ROUND(E38*F38,2)</f>
      </c>
    </row>
    <row x14ac:dyDescent="0.25" r="39" customHeight="1" ht="18.75">
      <c r="A39" s="1"/>
      <c r="B39" s="21">
        <f>B38+1</f>
      </c>
      <c r="C39" s="23" t="s">
        <v>49</v>
      </c>
      <c r="D39" s="18" t="s">
        <v>12</v>
      </c>
      <c r="E39" s="19">
        <v>150</v>
      </c>
      <c r="F39" s="19">
        <v>50</v>
      </c>
      <c r="G39" s="24">
        <f>ROUND(E39*F39,2)</f>
      </c>
    </row>
    <row x14ac:dyDescent="0.25" r="40" customHeight="1" ht="18.75">
      <c r="A40" s="1"/>
      <c r="B40" s="21">
        <f>B39+1</f>
      </c>
      <c r="C40" s="17" t="s">
        <v>50</v>
      </c>
      <c r="D40" s="18" t="s">
        <v>12</v>
      </c>
      <c r="E40" s="19">
        <v>2000</v>
      </c>
      <c r="F40" s="19">
        <v>20</v>
      </c>
      <c r="G40" s="24">
        <f>ROUND(E40*F40,2)</f>
      </c>
    </row>
    <row x14ac:dyDescent="0.25" r="41" customHeight="1" ht="18.75">
      <c r="A41" s="1"/>
      <c r="B41" s="21">
        <f>B40+1</f>
      </c>
      <c r="C41" s="23" t="s">
        <v>51</v>
      </c>
      <c r="D41" s="18" t="s">
        <v>12</v>
      </c>
      <c r="E41" s="19">
        <v>2000</v>
      </c>
      <c r="F41" s="19">
        <v>150</v>
      </c>
      <c r="G41" s="24">
        <f>ROUND(E41*F41,2)</f>
      </c>
    </row>
    <row x14ac:dyDescent="0.25" r="42" customHeight="1" ht="18.75">
      <c r="A42" s="1"/>
      <c r="B42" s="21">
        <f>B41+1</f>
      </c>
      <c r="C42" s="23" t="s">
        <v>52</v>
      </c>
      <c r="D42" s="18" t="s">
        <v>12</v>
      </c>
      <c r="E42" s="19">
        <v>1500</v>
      </c>
      <c r="F42" s="19">
        <v>50</v>
      </c>
      <c r="G42" s="24">
        <f>ROUND(E42*F42,2)</f>
      </c>
    </row>
    <row x14ac:dyDescent="0.25" r="43" customHeight="1" ht="18.75">
      <c r="A43" s="1"/>
      <c r="B43" s="21">
        <f>B42+1</f>
      </c>
      <c r="C43" s="23" t="s">
        <v>53</v>
      </c>
      <c r="D43" s="18" t="s">
        <v>12</v>
      </c>
      <c r="E43" s="19">
        <v>1500</v>
      </c>
      <c r="F43" s="19">
        <v>5</v>
      </c>
      <c r="G43" s="24">
        <f>ROUND(E43*F43,2)</f>
      </c>
    </row>
    <row x14ac:dyDescent="0.25" r="44" customHeight="1" ht="18.75">
      <c r="A44" s="1"/>
      <c r="B44" s="21">
        <f>B43+1</f>
      </c>
      <c r="C44" s="23" t="s">
        <v>54</v>
      </c>
      <c r="D44" s="18" t="s">
        <v>12</v>
      </c>
      <c r="E44" s="19">
        <v>1500</v>
      </c>
      <c r="F44" s="19">
        <v>50</v>
      </c>
      <c r="G44" s="24">
        <f>ROUND(E44*F44,2)</f>
      </c>
    </row>
    <row x14ac:dyDescent="0.25" r="45" customHeight="1" ht="18.75">
      <c r="A45" s="1"/>
      <c r="B45" s="21">
        <f>B44+1</f>
      </c>
      <c r="C45" s="23" t="s">
        <v>55</v>
      </c>
      <c r="D45" s="18" t="s">
        <v>12</v>
      </c>
      <c r="E45" s="19">
        <v>1000</v>
      </c>
      <c r="F45" s="19">
        <v>10</v>
      </c>
      <c r="G45" s="24">
        <f>ROUND(E45*F45,2)</f>
      </c>
    </row>
    <row x14ac:dyDescent="0.25" r="46" customHeight="1" ht="18.75">
      <c r="A46" s="1"/>
      <c r="B46" s="21">
        <f>B45+1</f>
      </c>
      <c r="C46" s="23" t="s">
        <v>56</v>
      </c>
      <c r="D46" s="18" t="s">
        <v>12</v>
      </c>
      <c r="E46" s="19">
        <v>400</v>
      </c>
      <c r="F46" s="19">
        <v>100</v>
      </c>
      <c r="G46" s="24">
        <f>ROUND(E46*F46,2)</f>
      </c>
    </row>
    <row x14ac:dyDescent="0.25" r="47" customHeight="1" ht="18.75">
      <c r="A47" s="1"/>
      <c r="B47" s="21">
        <f>B46+1</f>
      </c>
      <c r="C47" s="23" t="s">
        <v>57</v>
      </c>
      <c r="D47" s="18" t="s">
        <v>12</v>
      </c>
      <c r="E47" s="19">
        <v>400</v>
      </c>
      <c r="F47" s="19">
        <v>150</v>
      </c>
      <c r="G47" s="24">
        <f>ROUND(E47*F47,2)</f>
      </c>
    </row>
    <row x14ac:dyDescent="0.25" r="48" customHeight="1" ht="18.75">
      <c r="A48" s="1"/>
      <c r="B48" s="21">
        <f>B47+1</f>
      </c>
      <c r="C48" s="23" t="s">
        <v>58</v>
      </c>
      <c r="D48" s="18" t="s">
        <v>12</v>
      </c>
      <c r="E48" s="19">
        <v>1000</v>
      </c>
      <c r="F48" s="19">
        <v>10</v>
      </c>
      <c r="G48" s="24">
        <f>ROUND(E48*F48,2)</f>
      </c>
    </row>
    <row x14ac:dyDescent="0.25" r="49" customHeight="1" ht="18.75">
      <c r="A49" s="1"/>
      <c r="B49" s="21">
        <f>B48+1</f>
      </c>
      <c r="C49" s="23" t="s">
        <v>59</v>
      </c>
      <c r="D49" s="18" t="s">
        <v>12</v>
      </c>
      <c r="E49" s="19">
        <v>1000</v>
      </c>
      <c r="F49" s="19">
        <v>50</v>
      </c>
      <c r="G49" s="24">
        <f>ROUND(E49*F49,2)</f>
      </c>
    </row>
    <row x14ac:dyDescent="0.25" r="50" customHeight="1" ht="18.75">
      <c r="A50" s="1"/>
      <c r="B50" s="21">
        <f>B49+1</f>
      </c>
      <c r="C50" s="23" t="s">
        <v>60</v>
      </c>
      <c r="D50" s="18" t="s">
        <v>12</v>
      </c>
      <c r="E50" s="19">
        <v>1000</v>
      </c>
      <c r="F50" s="19">
        <v>5</v>
      </c>
      <c r="G50" s="24">
        <f>ROUND(E50*F50,2)</f>
      </c>
    </row>
    <row x14ac:dyDescent="0.25" r="51" customHeight="1" ht="18.75">
      <c r="A51" s="1"/>
      <c r="B51" s="21">
        <f>B50+1</f>
      </c>
      <c r="C51" s="23" t="s">
        <v>61</v>
      </c>
      <c r="D51" s="18" t="s">
        <v>12</v>
      </c>
      <c r="E51" s="19">
        <v>1000</v>
      </c>
      <c r="F51" s="19">
        <v>10</v>
      </c>
      <c r="G51" s="24">
        <f>ROUND(E51*F51,2)</f>
      </c>
    </row>
    <row x14ac:dyDescent="0.25" r="52" customHeight="1" ht="18.75">
      <c r="A52" s="1"/>
      <c r="B52" s="29"/>
      <c r="C52" s="22"/>
      <c r="D52" s="34" t="s">
        <v>62</v>
      </c>
      <c r="E52" s="35"/>
      <c r="F52" s="35"/>
      <c r="G52" s="24">
        <f>SUM(G32:G51)</f>
      </c>
    </row>
    <row x14ac:dyDescent="0.25" r="53" customHeight="1" ht="18.75">
      <c r="A53" s="1"/>
      <c r="B53" s="29"/>
      <c r="C53" s="22" t="s">
        <v>63</v>
      </c>
      <c r="D53" s="34"/>
      <c r="E53" s="35"/>
      <c r="F53" s="35"/>
      <c r="G53" s="20"/>
    </row>
    <row x14ac:dyDescent="0.25" r="54" customHeight="1" ht="18.75">
      <c r="A54" s="1"/>
      <c r="B54" s="21">
        <f>B51+1</f>
      </c>
      <c r="C54" s="17" t="s">
        <v>64</v>
      </c>
      <c r="D54" s="18" t="s">
        <v>12</v>
      </c>
      <c r="E54" s="19">
        <v>200</v>
      </c>
      <c r="F54" s="19">
        <v>25</v>
      </c>
      <c r="G54" s="24">
        <f>ROUND(E54*F54,2)</f>
      </c>
    </row>
    <row x14ac:dyDescent="0.25" r="55" customHeight="1" ht="18.75">
      <c r="A55" s="1"/>
      <c r="B55" s="21">
        <f>B54+1</f>
      </c>
      <c r="C55" s="17" t="s">
        <v>65</v>
      </c>
      <c r="D55" s="18" t="s">
        <v>66</v>
      </c>
      <c r="E55" s="19">
        <v>50</v>
      </c>
      <c r="F55" s="19">
        <v>500</v>
      </c>
      <c r="G55" s="24">
        <f>ROUND(E55*F55,2)</f>
      </c>
    </row>
    <row x14ac:dyDescent="0.25" r="56" customHeight="1" ht="60.75">
      <c r="A56" s="1"/>
      <c r="B56" s="21">
        <f>B55+1</f>
      </c>
      <c r="C56" s="17" t="s">
        <v>67</v>
      </c>
      <c r="D56" s="18" t="s">
        <v>68</v>
      </c>
      <c r="E56" s="19">
        <v>1</v>
      </c>
      <c r="F56" s="19">
        <v>40000</v>
      </c>
      <c r="G56" s="24">
        <f>ROUND(E56*F56,2)</f>
      </c>
    </row>
    <row x14ac:dyDescent="0.25" r="57" customHeight="1" ht="60">
      <c r="A57" s="1"/>
      <c r="B57" s="21">
        <f>B56+1</f>
      </c>
      <c r="C57" s="17" t="s">
        <v>69</v>
      </c>
      <c r="D57" s="18" t="s">
        <v>68</v>
      </c>
      <c r="E57" s="19">
        <v>1</v>
      </c>
      <c r="F57" s="19">
        <v>50000</v>
      </c>
      <c r="G57" s="24">
        <f>ROUND(E57*F57,2)</f>
      </c>
    </row>
    <row x14ac:dyDescent="0.25" r="58" customHeight="1" ht="18.75">
      <c r="A58" s="1"/>
      <c r="B58" s="21">
        <f>B57+1</f>
      </c>
      <c r="C58" s="17" t="s">
        <v>70</v>
      </c>
      <c r="D58" s="18" t="s">
        <v>66</v>
      </c>
      <c r="E58" s="19">
        <v>1</v>
      </c>
      <c r="F58" s="19"/>
      <c r="G58" s="24">
        <f>ROUND(E58*F58,2)</f>
      </c>
    </row>
    <row x14ac:dyDescent="0.25" r="59" customHeight="1" ht="18.75">
      <c r="A59" s="1"/>
      <c r="B59" s="36"/>
      <c r="C59" s="37"/>
      <c r="D59" s="38" t="s">
        <v>71</v>
      </c>
      <c r="E59" s="39"/>
      <c r="F59" s="39"/>
      <c r="G59" s="40">
        <f>SUM(G54:G58)</f>
      </c>
    </row>
  </sheetData>
  <mergeCells count="8">
    <mergeCell ref="B1:G1"/>
    <mergeCell ref="D2:F2"/>
    <mergeCell ref="D9:F9"/>
    <mergeCell ref="D27:F27"/>
    <mergeCell ref="C28:F28"/>
    <mergeCell ref="C29:F29"/>
    <mergeCell ref="D52:F52"/>
    <mergeCell ref="D59:F59"/>
  </mergeCells>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1</vt:i4>
      </vt:variant>
    </vt:vector>
  </HeadingPairs>
  <TitlesOfParts>
    <vt:vector baseType="lpstr" size="1">
      <vt:lpstr>DW</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2025-10-03T13:09:55.626Z</dcterms:created>
  <dcterms:modified xsi:type="dcterms:W3CDTF">2025-10-03T13:09:55.627Z</dcterms:modified>
</cp:coreProperties>
</file>