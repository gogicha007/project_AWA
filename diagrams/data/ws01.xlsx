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CODES\project_man\diagrams\"/>
    </mc:Choice>
  </mc:AlternateContent>
  <xr:revisionPtr revIDLastSave="0" documentId="8_{9B3179B9-43A3-43A9-8DDA-5B6ED3A23277}" xr6:coauthVersionLast="47" xr6:coauthVersionMax="47" xr10:uidLastSave="{00000000-0000-0000-0000-000000000000}"/>
  <bookViews>
    <workbookView xWindow="-120" yWindow="-120" windowWidth="29040" windowHeight="15720" xr2:uid="{CE707795-280C-49F9-98F2-7A8E4AC4B877}"/>
  </bookViews>
  <sheets>
    <sheet name="WS01" sheetId="1" r:id="rId1"/>
  </sheets>
  <externalReferences>
    <externalReference r:id="rId2"/>
  </externalReferences>
  <definedNames>
    <definedName name="_xlnm.Print_Area" localSheetId="0">'WS01'!$C$1:$H$72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0" i="1" l="1"/>
  <c r="H69" i="1"/>
  <c r="H67" i="1"/>
  <c r="H65" i="1"/>
  <c r="H64" i="1"/>
  <c r="H63" i="1"/>
  <c r="H62" i="1"/>
  <c r="H61" i="1"/>
  <c r="H60" i="1"/>
  <c r="H59" i="1"/>
  <c r="H58" i="1"/>
  <c r="H57" i="1"/>
  <c r="H56" i="1"/>
  <c r="H54" i="1"/>
  <c r="G54" i="1"/>
  <c r="H51" i="1"/>
  <c r="H50" i="1"/>
  <c r="H49" i="1"/>
  <c r="H47" i="1"/>
  <c r="F46" i="1"/>
  <c r="H46" i="1" s="1"/>
  <c r="H45" i="1"/>
  <c r="F45" i="1"/>
  <c r="H44" i="1"/>
  <c r="F44" i="1"/>
  <c r="H43" i="1"/>
  <c r="F41" i="1"/>
  <c r="H41" i="1" s="1"/>
  <c r="H40" i="1"/>
  <c r="H39" i="1"/>
  <c r="H37" i="1"/>
  <c r="H35" i="1"/>
  <c r="H33" i="1"/>
  <c r="H31" i="1"/>
  <c r="H29" i="1"/>
  <c r="H28" i="1"/>
  <c r="H27" i="1"/>
  <c r="H26" i="1"/>
  <c r="H25" i="1"/>
  <c r="H24" i="1"/>
  <c r="H21" i="1"/>
  <c r="F20" i="1"/>
  <c r="H20" i="1" s="1"/>
  <c r="H2" i="1" s="1"/>
  <c r="H19" i="1"/>
  <c r="H18" i="1"/>
  <c r="H17" i="1"/>
  <c r="H16" i="1"/>
  <c r="H15" i="1"/>
  <c r="H13" i="1"/>
  <c r="H12" i="1"/>
  <c r="H11" i="1"/>
  <c r="H10" i="1"/>
  <c r="H9" i="1"/>
  <c r="H8" i="1"/>
  <c r="H7" i="1"/>
</calcChain>
</file>

<file path=xl/sharedStrings.xml><?xml version="1.0" encoding="utf-8"?>
<sst xmlns="http://schemas.openxmlformats.org/spreadsheetml/2006/main" count="184" uniqueCount="135">
  <si>
    <t xml:space="preserve">Bill of Quantity for Water Supply System Lower Vashlovani - LOT 2A </t>
  </si>
  <si>
    <t>WS01</t>
  </si>
  <si>
    <t>Item#</t>
  </si>
  <si>
    <t>Description of work</t>
  </si>
  <si>
    <t>Unit</t>
  </si>
  <si>
    <t>Quantity</t>
  </si>
  <si>
    <t>Price per unit</t>
  </si>
  <si>
    <t xml:space="preserve">Total price </t>
  </si>
  <si>
    <t xml:space="preserve">All related Works shall be included under the unit prices. All rates for water supply pipeworks and appurtenances for the above mentioned village shall be indicated in this sheet. Rates for civil structures and ancillary works to include but not be limited to intakes, reservoirs, etc. shall be priced in the adjoining worksheets and are linked to the items in the corresponding row of this worksheet. </t>
  </si>
  <si>
    <r>
      <rPr>
        <b/>
        <sz val="11"/>
        <color theme="1"/>
        <rFont val="Calibri"/>
        <family val="1"/>
        <scheme val="minor"/>
      </rPr>
      <t xml:space="preserve">Supply, delivery and installation of water pipes, including all fittings and joints necessary for complete installation, pipe trench excavation, pipe bedding / sorrounding, pipe laying / installation, testing, desinfection and backfilling / compaction: </t>
    </r>
    <r>
      <rPr>
        <sz val="11"/>
        <color theme="1"/>
        <rFont val="Calibri"/>
        <family val="2"/>
        <scheme val="minor"/>
      </rPr>
      <t>machinery or hand trench excavation in any type of soil up to 1,5m depth and dispose of excess material in a dumpsite up to 9 km distance. Including shoring; supply, place and compact suitable material for pipe bedding, including trimming of excavated trench; laying and installation of pipes, including welding, fittings, reducers, tees and adapters outside valve chambers; place and compact pipe sorrounding, including compaction to 95% MDD; installation and pressure pipe testing; disinfection of pipes and valves; trench backfilling with selected backfill material and compacting, including supply and delivery to site of imported suitable backfill material</t>
    </r>
  </si>
  <si>
    <t>1.1</t>
  </si>
  <si>
    <t>High Density Polyethylene (HDPE) pipes, material grade HDPE100, nominal pressure rating 10 bar (PN10), with SDR17</t>
  </si>
  <si>
    <t>1.1.1</t>
  </si>
  <si>
    <t>HDPE Pipe DN25 for service connection</t>
  </si>
  <si>
    <t>m</t>
  </si>
  <si>
    <t>1.1.2</t>
  </si>
  <si>
    <t>HDPE Pipe DN32</t>
  </si>
  <si>
    <t>1.1.3</t>
  </si>
  <si>
    <t>HDPE Pipe DN50</t>
  </si>
  <si>
    <t>1.1.4</t>
  </si>
  <si>
    <t>HDPE Pipe DN63</t>
  </si>
  <si>
    <t>1.1.5</t>
  </si>
  <si>
    <t>HDPE Pipe DN75</t>
  </si>
  <si>
    <t>1.1.6</t>
  </si>
  <si>
    <t>HDPE Pipe DN110</t>
  </si>
  <si>
    <t>1.1.7</t>
  </si>
  <si>
    <t>HDPE Pipe DN125</t>
  </si>
  <si>
    <t>1.2</t>
  </si>
  <si>
    <t>High Density Polyethylene (HDPE) pipes, material grade HDPE100, nominal pressure rating 16 bar (PN16), with SDR11</t>
  </si>
  <si>
    <t>1.2.1</t>
  </si>
  <si>
    <t>1.2.2</t>
  </si>
  <si>
    <t>1.2.3</t>
  </si>
  <si>
    <t>1.2.4</t>
  </si>
  <si>
    <t>1.2.5</t>
  </si>
  <si>
    <t>1.2.6</t>
  </si>
  <si>
    <t>HDPE Pipe DN90</t>
  </si>
  <si>
    <t>1.2.7</t>
  </si>
  <si>
    <t>Supply, deliver and installation of water appurtenances</t>
  </si>
  <si>
    <t>2.1</t>
  </si>
  <si>
    <t>Underground cast iron water network gate valves within Valve Chambers (Type I, II, III or IV), including all necessary fittings, such as welded flanges, flange adapters, spindle extension, and road cap, with installation pressure rating PN16</t>
  </si>
  <si>
    <t>2.1.1</t>
  </si>
  <si>
    <t>Gate valve for main pipeline size DN32</t>
  </si>
  <si>
    <t>no.</t>
  </si>
  <si>
    <t>2.1.2</t>
  </si>
  <si>
    <t>Gate valve for main pipeline size DN50</t>
  </si>
  <si>
    <t>2.1.3</t>
  </si>
  <si>
    <t>Gate valve for main pipeline size DN63/DN65</t>
  </si>
  <si>
    <t>2.1.4</t>
  </si>
  <si>
    <t>Gate valve for main pipeline size DN75</t>
  </si>
  <si>
    <t>2.1.5</t>
  </si>
  <si>
    <t>Gate valve for main pipeline size DN90</t>
  </si>
  <si>
    <t>2.1.6</t>
  </si>
  <si>
    <t>Gate valve for main pipeline size DN110</t>
  </si>
  <si>
    <t>2.2</t>
  </si>
  <si>
    <t>Stand type fire hydrant, including "Tee" from mainline and all necessary fittings, such as welded flanges, flange adapters, spindle extension, and road cap, with installation pressure rating PN16</t>
  </si>
  <si>
    <t>2.2.1</t>
  </si>
  <si>
    <t>Hydrant for main pipeline size DN80</t>
  </si>
  <si>
    <t>2.3</t>
  </si>
  <si>
    <t>Set of pressure reducing valves (PRV), including one working and one standby consiting all necessary fittings, such as welded flanges, gate valves, flange adapters, strainers, pressure gages and road cap, with installation pressure rating PN16</t>
  </si>
  <si>
    <t>2.3.1</t>
  </si>
  <si>
    <t>PRV set for main pipeline size DN50</t>
  </si>
  <si>
    <t>2.4</t>
  </si>
  <si>
    <t>Air valves, including all necessary fittings, such as welded flanges, flange adapters, spindle extension, and road cap, with installation pressure rating PN16</t>
  </si>
  <si>
    <t>2.4.1</t>
  </si>
  <si>
    <t>Air valves for main pipeline size DN50</t>
  </si>
  <si>
    <t>2.5</t>
  </si>
  <si>
    <t>Washout valves, including all necessary fittings, such as welded flanges, flange adapters, spindle extension, and road cap, with installation pressure rating PN16</t>
  </si>
  <si>
    <t>2.5.1</t>
  </si>
  <si>
    <t>Washout valves for main pipeline size DN50</t>
  </si>
  <si>
    <t>2.6</t>
  </si>
  <si>
    <t>House / service connections (all fittings to be rated to PN16)</t>
  </si>
  <si>
    <t>2.6.1</t>
  </si>
  <si>
    <r>
      <rPr>
        <b/>
        <sz val="11"/>
        <color theme="1"/>
        <rFont val="Calibri"/>
        <family val="1"/>
        <scheme val="minor"/>
      </rPr>
      <t>Water meters Type II (underground in the house front yard),</t>
    </r>
    <r>
      <rPr>
        <sz val="11"/>
        <color theme="1"/>
        <rFont val="Calibri"/>
        <family val="2"/>
        <scheme val="minor"/>
      </rPr>
      <t xml:space="preserve"> including house water meter, plastic water meter box 300x500x200mm and all necessary fittings, such as ball valves and non-return valve with thermal isolation.</t>
    </r>
  </si>
  <si>
    <t>2.6.2</t>
  </si>
  <si>
    <t xml:space="preserve">PRV equipment for Water metters Type III. Item includes valve DN20, filter DN20, pressure reducer DN20 PN16, thermal isolation and box. </t>
  </si>
  <si>
    <t>2.6.3</t>
  </si>
  <si>
    <r>
      <rPr>
        <b/>
        <sz val="11"/>
        <color theme="1"/>
        <rFont val="Calibri"/>
        <family val="1"/>
        <scheme val="minor"/>
      </rPr>
      <t>House / building service connection - connecting the water meter to the existing plumbing and pipework:</t>
    </r>
    <r>
      <rPr>
        <sz val="11"/>
        <color theme="1"/>
        <rFont val="Calibri"/>
        <family val="2"/>
        <scheme val="minor"/>
      </rPr>
      <t xml:space="preserve"> Include all parts and labour required to make the connection from the meter box to the existing house service pipe and capping off of existing pipe (including supply of necessary fittings). Supply and installation of meter chamber measured above. Service tubing between meter and existing connection measured in item 1.1.1</t>
    </r>
  </si>
  <si>
    <t>Cutting, breaking and reinstatement</t>
  </si>
  <si>
    <t>3.1</t>
  </si>
  <si>
    <t>Cutting and take out of asphalt surface (per meter cut on each side of the trench)</t>
  </si>
  <si>
    <t>3.2</t>
  </si>
  <si>
    <t>Cutting and take out of  concrete surface (per meter cut on each side of the trench)</t>
  </si>
  <si>
    <t>3.3</t>
  </si>
  <si>
    <t>Reinstatement of asphalt surface</t>
  </si>
  <si>
    <r>
      <t>m</t>
    </r>
    <r>
      <rPr>
        <vertAlign val="superscript"/>
        <sz val="11"/>
        <color theme="1"/>
        <rFont val="Calibri"/>
        <family val="2"/>
        <scheme val="minor"/>
      </rPr>
      <t>2</t>
    </r>
  </si>
  <si>
    <t>3.4</t>
  </si>
  <si>
    <t>Reinstatement of concrete surface</t>
  </si>
  <si>
    <t>3.5</t>
  </si>
  <si>
    <t>Demolition and removal of rocks and concrete structures,  including transport and disposal to the landfill</t>
  </si>
  <si>
    <r>
      <t>m</t>
    </r>
    <r>
      <rPr>
        <vertAlign val="superscript"/>
        <sz val="11"/>
        <color theme="1"/>
        <rFont val="Calibri"/>
        <family val="2"/>
        <scheme val="minor"/>
      </rPr>
      <t>3</t>
    </r>
  </si>
  <si>
    <t>Construction of valve chambers for TM and networks, including concrete, reinforcement, cover, earthworks and surface reinstatement</t>
  </si>
  <si>
    <t>4.1</t>
  </si>
  <si>
    <t>Valve chamber Type II (round concrete D=1,0 m)</t>
  </si>
  <si>
    <t>4.2</t>
  </si>
  <si>
    <t>Valve chamber Type III (round concrete D= 1,5 m)</t>
  </si>
  <si>
    <t>4.3</t>
  </si>
  <si>
    <t>Valve chamber Type IV (rectangular concrete, for PRV)</t>
  </si>
  <si>
    <t>Construction of concrete structures</t>
  </si>
  <si>
    <t>5.1</t>
  </si>
  <si>
    <t>Reservoir R-VAS-01</t>
  </si>
  <si>
    <t>5.1.1</t>
  </si>
  <si>
    <r>
      <t>Typical construction works of the 200 m</t>
    </r>
    <r>
      <rPr>
        <vertAlign val="superscript"/>
        <sz val="11"/>
        <color theme="1"/>
        <rFont val="Calibri"/>
        <family val="2"/>
        <scheme val="minor"/>
      </rPr>
      <t xml:space="preserve">3 </t>
    </r>
    <r>
      <rPr>
        <sz val="11"/>
        <color theme="1"/>
        <rFont val="Calibri"/>
        <family val="2"/>
        <scheme val="minor"/>
      </rPr>
      <t>water reservoir and control valve chamber. See BoQ breakdown in corresponding sheet</t>
    </r>
  </si>
  <si>
    <t>LS</t>
  </si>
  <si>
    <t>5.1.2</t>
  </si>
  <si>
    <t>Supply and installation of mechanical equipment, according to the drawing KHU-VAS-WS-MEC-01</t>
  </si>
  <si>
    <t>5.1.2.1</t>
  </si>
  <si>
    <t>Gate Valve DN75 / PN10</t>
  </si>
  <si>
    <t>5.1.2.2</t>
  </si>
  <si>
    <t>Gate Valve DN90 / PN16</t>
  </si>
  <si>
    <t>5.1.2.3</t>
  </si>
  <si>
    <t>Pressure / Flow Control Valve DN75 / PN16</t>
  </si>
  <si>
    <t>5.1.2.4</t>
  </si>
  <si>
    <t>Bulk Water Meter DN75 / PN16 - Equipped with Data Logger</t>
  </si>
  <si>
    <t>5.1.2.5</t>
  </si>
  <si>
    <t>Bulk Water Meter DN90 / PN10 - Equipped with Data Logger</t>
  </si>
  <si>
    <t>5.1.2.6</t>
  </si>
  <si>
    <t>Level control valve DN75 PN16</t>
  </si>
  <si>
    <t>5.1.3</t>
  </si>
  <si>
    <t>Construction of access road</t>
  </si>
  <si>
    <t>5.1.4</t>
  </si>
  <si>
    <t>Excavation in any type of soil by machinary equipment or by hand, until excavation level, works include, dewotering works compaction, of excavation level, desposal of excavated material on dumpsite in radius of 9 km.</t>
  </si>
  <si>
    <t>5.1.5</t>
  </si>
  <si>
    <t>Backfilling works with selected backfilling material and compacted in layers</t>
  </si>
  <si>
    <t>5.1.6</t>
  </si>
  <si>
    <t>Undertaking geotechnical investigations, including 3 test borehole with depth of 10 m</t>
  </si>
  <si>
    <t>5.2</t>
  </si>
  <si>
    <t xml:space="preserve">Chlorination </t>
  </si>
  <si>
    <t>5.2.1</t>
  </si>
  <si>
    <t>Supply and installation of Inline Chlorine Tablet Feeder</t>
  </si>
  <si>
    <t>no</t>
  </si>
  <si>
    <t>Miscellaneous</t>
  </si>
  <si>
    <t>6.1</t>
  </si>
  <si>
    <t>Fencing of the sanitary areas, including entrance gate</t>
  </si>
  <si>
    <t>6.2</t>
  </si>
  <si>
    <t>Connection to the outlet pipe of the LOT 1 valve chamber connection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</si>
</sst>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00\ &quot;₽&quot;_-;\-* #,##0.00\ &quot;₽&quot;_-;_-* &quot;-&quot;??\ &quot;₽&quot;_-;_-@_-"/>
  </numFmts>
  <fonts count="6" x14ac:knownFonts="1">
    <font>
      <sz val="11"/>
      <color theme="1"/>
      <name val="Calibri"/>
      <family val="2"/>
      <scheme val="minor"/>
    </font>
    <font>
      <sz val="11"/>
      <color theme="1"/>
      <name val="Calibri"/>
      <family val="2"/>
      <scheme val="minor"/>
    </font>
    <font>
      <b/>
      <u/>
      <sz val="14"/>
      <color theme="1"/>
      <name val="Calibri"/>
      <family val="1"/>
      <scheme val="minor"/>
    </font>
    <font>
      <b/>
      <sz val="12"/>
      <color theme="1"/>
      <name val="Calibri"/>
      <family val="1"/>
      <scheme val="minor"/>
    </font>
    <font>
      <b/>
      <sz val="11"/>
      <color theme="1"/>
      <name val="Calibri"/>
      <family val="1"/>
      <scheme val="minor"/>
    </font>
    <font>
      <vertAlign val="superscript"/>
      <sz val="11"/>
      <color theme="1"/>
      <name val="Calibri"/>
      <family val="2"/>
      <scheme val="minor"/>
    </font>
  </fonts>
  <fills count="2">
    <fill>
      <patternFill patternType="none"/>
    </fill>
    <fill>
      <patternFill patternType="gray125"/>
    </fill>
  </fills>
  <borders count="21">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diagonalUp="1">
      <left style="thin">
        <color auto="1"/>
      </left>
      <right style="medium">
        <color auto="1"/>
      </right>
      <top style="thin">
        <color auto="1"/>
      </top>
      <bottom style="thin">
        <color auto="1"/>
      </bottom>
      <diagonal style="thin">
        <color auto="1"/>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3">
    <xf numFmtId="0" fontId="0" fillId="0" borderId="0"/>
    <xf numFmtId="164" fontId="1" fillId="0" borderId="0" applyFont="0" applyFill="0" applyBorder="0" applyAlignment="0" applyProtection="0"/>
    <xf numFmtId="165" fontId="1" fillId="0" borderId="0" applyFont="0" applyFill="0" applyBorder="0" applyAlignment="0" applyProtection="0"/>
  </cellStyleXfs>
  <cellXfs count="71">
    <xf numFmtId="0" fontId="0" fillId="0" borderId="0" xfId="0"/>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4" xfId="0" applyFont="1" applyBorder="1" applyAlignment="1">
      <alignment horizontal="left" vertical="center"/>
    </xf>
    <xf numFmtId="0" fontId="3" fillId="0" borderId="5" xfId="0" applyFont="1" applyBorder="1" applyAlignment="1">
      <alignment horizontal="center" vertical="center"/>
    </xf>
    <xf numFmtId="0" fontId="3" fillId="0" borderId="2" xfId="0" applyFont="1" applyBorder="1" applyAlignment="1">
      <alignment horizontal="right" vertical="center"/>
    </xf>
    <xf numFmtId="0" fontId="3" fillId="0" borderId="6" xfId="0" applyFont="1" applyBorder="1" applyAlignment="1">
      <alignment horizontal="right" vertical="center"/>
    </xf>
    <xf numFmtId="164" fontId="3" fillId="0" borderId="7" xfId="0" applyNumberFormat="1" applyFont="1" applyBorder="1" applyAlignment="1">
      <alignment vertical="center"/>
    </xf>
    <xf numFmtId="0" fontId="4" fillId="0" borderId="8" xfId="0" applyFont="1" applyBorder="1" applyAlignment="1">
      <alignment horizontal="center" vertical="center" wrapText="1"/>
    </xf>
    <xf numFmtId="0" fontId="4" fillId="0" borderId="9" xfId="0" applyFont="1" applyBorder="1" applyAlignment="1">
      <alignment horizontal="center" vertical="center"/>
    </xf>
    <xf numFmtId="0" fontId="4" fillId="0" borderId="9" xfId="0" applyFont="1" applyBorder="1" applyAlignment="1">
      <alignment horizontal="center" vertical="center" wrapText="1"/>
    </xf>
    <xf numFmtId="164" fontId="4" fillId="0" borderId="9" xfId="0" applyNumberFormat="1" applyFont="1" applyBorder="1" applyAlignment="1">
      <alignment horizontal="center" vertical="center" wrapText="1"/>
    </xf>
    <xf numFmtId="164" fontId="4" fillId="0" borderId="10" xfId="0" applyNumberFormat="1" applyFont="1" applyBorder="1" applyAlignment="1">
      <alignment horizontal="center" vertical="center" wrapText="1"/>
    </xf>
    <xf numFmtId="0" fontId="4" fillId="0" borderId="11" xfId="0" applyFont="1" applyBorder="1" applyAlignment="1">
      <alignment horizontal="center" vertical="center"/>
    </xf>
    <xf numFmtId="0" fontId="0" fillId="0" borderId="12" xfId="0" applyBorder="1" applyAlignment="1">
      <alignment horizontal="left" vertical="top" wrapText="1"/>
    </xf>
    <xf numFmtId="0" fontId="4" fillId="0" borderId="12" xfId="0" applyFont="1" applyBorder="1" applyAlignment="1">
      <alignment horizontal="center" vertical="center"/>
    </xf>
    <xf numFmtId="164" fontId="4" fillId="0" borderId="12" xfId="0" applyNumberFormat="1" applyFont="1" applyBorder="1" applyAlignment="1">
      <alignment horizontal="center" vertical="center"/>
    </xf>
    <xf numFmtId="164" fontId="4" fillId="0" borderId="12" xfId="0" applyNumberFormat="1" applyFont="1" applyBorder="1" applyAlignment="1" applyProtection="1">
      <alignment horizontal="center" vertical="center" wrapText="1"/>
      <protection locked="0"/>
    </xf>
    <xf numFmtId="164" fontId="0" fillId="0" borderId="13" xfId="1" applyFont="1" applyFill="1" applyBorder="1" applyAlignment="1">
      <alignment horizontal="center" vertical="center"/>
    </xf>
    <xf numFmtId="0" fontId="0" fillId="0" borderId="0" xfId="0" applyAlignment="1">
      <alignment horizontal="left" vertical="center"/>
    </xf>
    <xf numFmtId="0" fontId="4" fillId="0" borderId="14" xfId="0" applyFont="1" applyBorder="1" applyAlignment="1">
      <alignment horizontal="center" vertical="center"/>
    </xf>
    <xf numFmtId="0" fontId="0" fillId="0" borderId="15" xfId="0" applyBorder="1" applyAlignment="1">
      <alignment horizontal="left" vertical="top" wrapText="1"/>
    </xf>
    <xf numFmtId="0" fontId="4" fillId="0" borderId="15" xfId="0" applyFont="1" applyBorder="1" applyAlignment="1">
      <alignment horizontal="center" vertical="center"/>
    </xf>
    <xf numFmtId="164" fontId="4" fillId="0" borderId="15" xfId="0" applyNumberFormat="1" applyFont="1" applyBorder="1" applyAlignment="1">
      <alignment horizontal="center" vertical="center"/>
    </xf>
    <xf numFmtId="164" fontId="4" fillId="0" borderId="15" xfId="0" applyNumberFormat="1" applyFont="1" applyBorder="1" applyAlignment="1" applyProtection="1">
      <alignment horizontal="center" vertical="center" wrapText="1"/>
      <protection locked="0"/>
    </xf>
    <xf numFmtId="0" fontId="4" fillId="0" borderId="0" xfId="0" applyFont="1"/>
    <xf numFmtId="0" fontId="4" fillId="0" borderId="15" xfId="0" applyFont="1" applyBorder="1" applyAlignment="1">
      <alignment horizontal="left" vertical="top" wrapText="1"/>
    </xf>
    <xf numFmtId="0" fontId="0" fillId="0" borderId="14" xfId="0" applyBorder="1" applyAlignment="1">
      <alignment horizontal="center" vertical="center"/>
    </xf>
    <xf numFmtId="0" fontId="0" fillId="0" borderId="15" xfId="0" applyBorder="1" applyAlignment="1">
      <alignment vertical="top" wrapText="1"/>
    </xf>
    <xf numFmtId="0" fontId="0" fillId="0" borderId="15" xfId="0" applyBorder="1" applyAlignment="1">
      <alignment horizontal="center" vertical="center"/>
    </xf>
    <xf numFmtId="164" fontId="0" fillId="0" borderId="15" xfId="1" applyFont="1" applyFill="1" applyBorder="1" applyAlignment="1">
      <alignment horizontal="center" vertical="center"/>
    </xf>
    <xf numFmtId="164" fontId="0" fillId="0" borderId="15" xfId="1" applyFont="1" applyFill="1" applyBorder="1" applyAlignment="1" applyProtection="1">
      <alignment horizontal="center" vertical="center"/>
      <protection locked="0"/>
    </xf>
    <xf numFmtId="164" fontId="0" fillId="0" borderId="16" xfId="1" applyFont="1" applyFill="1" applyBorder="1" applyAlignment="1">
      <alignment horizontal="center" vertical="center"/>
    </xf>
    <xf numFmtId="4" fontId="0" fillId="0" borderId="15" xfId="0" applyNumberFormat="1" applyBorder="1" applyAlignment="1" applyProtection="1">
      <alignment horizontal="right" vertical="center"/>
      <protection locked="0"/>
    </xf>
    <xf numFmtId="2" fontId="0" fillId="0" borderId="15" xfId="0" applyNumberFormat="1" applyBorder="1" applyAlignment="1" applyProtection="1">
      <alignment horizontal="right" vertical="center"/>
      <protection locked="0"/>
    </xf>
    <xf numFmtId="164" fontId="0" fillId="0" borderId="16" xfId="0" applyNumberFormat="1" applyBorder="1" applyAlignment="1">
      <alignment horizontal="right" vertical="center" wrapText="1"/>
    </xf>
    <xf numFmtId="164" fontId="0" fillId="0" borderId="16" xfId="1" applyFont="1" applyFill="1" applyBorder="1" applyAlignment="1">
      <alignment horizontal="right" vertical="center"/>
    </xf>
    <xf numFmtId="49"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pplyProtection="1">
      <alignment horizontal="right" vertical="center"/>
      <protection locked="0"/>
    </xf>
    <xf numFmtId="0" fontId="0" fillId="0" borderId="14" xfId="0" applyBorder="1" applyAlignment="1">
      <alignment horizontal="center" vertical="center" wrapText="1"/>
    </xf>
    <xf numFmtId="0" fontId="0" fillId="0" borderId="15" xfId="0" applyBorder="1" applyAlignment="1">
      <alignment horizontal="center" vertical="center" wrapText="1"/>
    </xf>
    <xf numFmtId="164" fontId="0" fillId="0" borderId="15" xfId="1" applyFont="1" applyFill="1" applyBorder="1" applyAlignment="1">
      <alignment horizontal="center" vertical="center" wrapText="1"/>
    </xf>
    <xf numFmtId="164" fontId="0" fillId="0" borderId="16" xfId="1" applyFont="1" applyFill="1" applyBorder="1" applyAlignment="1">
      <alignment horizontal="center" vertical="center" wrapText="1"/>
    </xf>
    <xf numFmtId="0" fontId="0" fillId="0" borderId="0" xfId="0" applyAlignment="1">
      <alignment vertical="center" wrapText="1"/>
    </xf>
    <xf numFmtId="0" fontId="0" fillId="0" borderId="15" xfId="0" applyBorder="1" applyAlignment="1">
      <alignment horizontal="left" vertical="center" wrapText="1"/>
    </xf>
    <xf numFmtId="164" fontId="0" fillId="0" borderId="15" xfId="1" applyFont="1" applyFill="1" applyBorder="1" applyAlignment="1" applyProtection="1">
      <alignment horizontal="center" vertical="center" wrapText="1"/>
      <protection locked="0"/>
    </xf>
    <xf numFmtId="0" fontId="4" fillId="0" borderId="14" xfId="0" applyFont="1" applyBorder="1" applyAlignment="1">
      <alignment horizontal="center" vertical="center" wrapText="1"/>
    </xf>
    <xf numFmtId="0" fontId="4" fillId="0" borderId="15" xfId="0" applyFont="1" applyBorder="1" applyAlignment="1">
      <alignment vertical="top" wrapText="1"/>
    </xf>
    <xf numFmtId="164" fontId="0" fillId="0" borderId="13" xfId="1" applyFont="1" applyFill="1" applyBorder="1" applyAlignment="1">
      <alignment horizontal="center" vertical="center" wrapText="1"/>
    </xf>
    <xf numFmtId="49" fontId="0" fillId="0" borderId="14" xfId="0" applyNumberFormat="1" applyBorder="1" applyAlignment="1">
      <alignment horizontal="center" vertical="center" wrapText="1"/>
    </xf>
    <xf numFmtId="164" fontId="0" fillId="0" borderId="15" xfId="0" applyNumberFormat="1" applyBorder="1" applyAlignment="1">
      <alignment horizontal="center" vertical="center" wrapText="1"/>
    </xf>
    <xf numFmtId="2" fontId="0" fillId="0" borderId="15" xfId="0" applyNumberFormat="1" applyBorder="1" applyAlignment="1" applyProtection="1">
      <alignment horizontal="right" vertical="center" wrapText="1"/>
      <protection locked="0"/>
    </xf>
    <xf numFmtId="164" fontId="0" fillId="0" borderId="15" xfId="0" applyNumberFormat="1" applyBorder="1" applyAlignment="1">
      <alignment horizontal="right" vertical="center" wrapText="1"/>
    </xf>
    <xf numFmtId="0" fontId="4" fillId="0" borderId="15" xfId="0" applyFont="1" applyBorder="1" applyAlignment="1">
      <alignment wrapText="1"/>
    </xf>
    <xf numFmtId="164" fontId="0" fillId="0" borderId="15" xfId="1" applyFont="1" applyFill="1" applyBorder="1" applyAlignment="1">
      <alignment horizontal="right" vertical="center"/>
    </xf>
    <xf numFmtId="49" fontId="4" fillId="0" borderId="14" xfId="0" applyNumberFormat="1" applyFont="1" applyBorder="1" applyAlignment="1">
      <alignment horizontal="center" vertical="center"/>
    </xf>
    <xf numFmtId="164" fontId="0" fillId="0" borderId="15" xfId="1" applyFont="1" applyFill="1" applyBorder="1" applyAlignment="1" applyProtection="1">
      <alignment horizontal="center" vertical="center"/>
    </xf>
    <xf numFmtId="0" fontId="0" fillId="0" borderId="0" xfId="0" applyAlignment="1">
      <alignment vertical="center" wrapText="1"/>
    </xf>
    <xf numFmtId="2" fontId="0" fillId="0" borderId="15" xfId="0" applyNumberFormat="1" applyBorder="1" applyAlignment="1" applyProtection="1">
      <alignment horizontal="right" vertical="top"/>
      <protection locked="0"/>
    </xf>
    <xf numFmtId="164" fontId="0" fillId="0" borderId="17" xfId="1" applyFont="1" applyFill="1" applyBorder="1" applyAlignment="1">
      <alignment horizontal="right" vertical="center"/>
    </xf>
    <xf numFmtId="165" fontId="0" fillId="0" borderId="15" xfId="2" applyFont="1" applyFill="1" applyBorder="1" applyAlignment="1" applyProtection="1">
      <alignment horizontal="center" vertical="center"/>
      <protection locked="0"/>
    </xf>
    <xf numFmtId="49" fontId="0" fillId="0" borderId="18" xfId="0" applyNumberFormat="1" applyBorder="1" applyAlignment="1">
      <alignment horizontal="center" vertical="center"/>
    </xf>
    <xf numFmtId="0" fontId="0" fillId="0" borderId="19" xfId="0" applyBorder="1" applyAlignment="1">
      <alignment horizontal="left" vertical="top" wrapText="1"/>
    </xf>
    <xf numFmtId="0" fontId="0" fillId="0" borderId="19" xfId="0" applyBorder="1" applyAlignment="1">
      <alignment horizontal="center" vertical="center"/>
    </xf>
    <xf numFmtId="164" fontId="0" fillId="0" borderId="19" xfId="1" applyFont="1" applyFill="1" applyBorder="1" applyAlignment="1">
      <alignment horizontal="right" vertical="center"/>
    </xf>
    <xf numFmtId="164" fontId="0" fillId="0" borderId="19" xfId="1" applyFont="1" applyFill="1" applyBorder="1" applyAlignment="1" applyProtection="1">
      <alignment horizontal="center" vertical="center"/>
      <protection locked="0"/>
    </xf>
    <xf numFmtId="164" fontId="0" fillId="0" borderId="20" xfId="1" applyFont="1" applyFill="1" applyBorder="1" applyAlignment="1">
      <alignment horizontal="center" vertical="center"/>
    </xf>
    <xf numFmtId="0" fontId="0" fillId="0" borderId="0" xfId="0" applyAlignment="1">
      <alignment horizontal="center"/>
    </xf>
    <xf numFmtId="164" fontId="0" fillId="0" borderId="0" xfId="0" applyNumberFormat="1"/>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IRAKLI\Temp\project_awa\Vol2.2_BoQ_LOT_2A_Version%20GZ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Summary"/>
      <sheetName val="Gen,Prelim&amp;ESHS"/>
      <sheetName val="WS01"/>
      <sheetName val="WS02"/>
      <sheetName val="WS03"/>
      <sheetName val="WS04"/>
      <sheetName val="WS05"/>
      <sheetName val="WS06"/>
      <sheetName val="WS07"/>
      <sheetName val="WS08"/>
      <sheetName val="WS09"/>
      <sheetName val="WSSUM"/>
      <sheetName val="WSSP"/>
      <sheetName val="Inf._stream_int."/>
      <sheetName val="R50"/>
      <sheetName val="R100"/>
      <sheetName val="R200"/>
      <sheetName val="WW01"/>
      <sheetName val="WW02"/>
      <sheetName val="WW03"/>
      <sheetName val="WW04"/>
      <sheetName val="WW05"/>
      <sheetName val="WW06"/>
      <sheetName val="WW07"/>
      <sheetName val="WW08"/>
      <sheetName val="WW09"/>
      <sheetName val="WW10"/>
      <sheetName val="WWSUM"/>
      <sheetName val="WWSP"/>
      <sheetName val="ST20"/>
      <sheetName val="ST30"/>
      <sheetName val="ST100"/>
      <sheetName val="DW"/>
      <sheetName val="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H2">
            <v>156646.85999999999</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BA3DB-10BE-4791-953B-948FD9A28EAD}">
  <sheetPr>
    <tabColor theme="4" tint="0.79995117038483843"/>
    <pageSetUpPr fitToPage="1"/>
  </sheetPr>
  <dimension ref="C1:I71"/>
  <sheetViews>
    <sheetView showGridLines="0" tabSelected="1" view="pageBreakPreview" topLeftCell="B1" zoomScale="90" zoomScaleNormal="90" zoomScaleSheetLayoutView="90" workbookViewId="0">
      <pane ySplit="3" topLeftCell="A4" activePane="bottomLeft" state="frozen"/>
      <selection activeCell="K25" sqref="K25"/>
      <selection pane="bottomLeft" activeCell="D5" sqref="D5"/>
    </sheetView>
  </sheetViews>
  <sheetFormatPr defaultColWidth="8.85546875" defaultRowHeight="15" x14ac:dyDescent="0.25"/>
  <cols>
    <col min="1" max="2" width="2.85546875" customWidth="1"/>
    <col min="3" max="3" width="7" style="69" bestFit="1" customWidth="1"/>
    <col min="4" max="4" width="85.5703125" customWidth="1"/>
    <col min="5" max="5" width="4.85546875" bestFit="1" customWidth="1"/>
    <col min="6" max="6" width="11.140625" style="70" bestFit="1" customWidth="1"/>
    <col min="7" max="7" width="13.42578125" style="70" bestFit="1" customWidth="1"/>
    <col min="8" max="8" width="14.5703125" style="70" bestFit="1" customWidth="1"/>
    <col min="9" max="9" width="36.42578125" customWidth="1"/>
  </cols>
  <sheetData>
    <row r="1" spans="3:9" ht="19.5" thickBot="1" x14ac:dyDescent="0.3">
      <c r="C1" s="1" t="s">
        <v>0</v>
      </c>
      <c r="D1" s="2"/>
      <c r="E1" s="2"/>
      <c r="F1" s="2"/>
      <c r="G1" s="2"/>
      <c r="H1" s="3"/>
    </row>
    <row r="2" spans="3:9" ht="16.5" thickBot="1" x14ac:dyDescent="0.3">
      <c r="C2" s="4" t="s">
        <v>1</v>
      </c>
      <c r="D2" s="5"/>
      <c r="E2" s="6"/>
      <c r="F2" s="6"/>
      <c r="G2" s="7"/>
      <c r="H2" s="8">
        <f>SUM(H3:H71)</f>
        <v>1139540.8599999999</v>
      </c>
    </row>
    <row r="3" spans="3:9" x14ac:dyDescent="0.25">
      <c r="C3" s="9" t="s">
        <v>2</v>
      </c>
      <c r="D3" s="10" t="s">
        <v>3</v>
      </c>
      <c r="E3" s="11" t="s">
        <v>4</v>
      </c>
      <c r="F3" s="12" t="s">
        <v>5</v>
      </c>
      <c r="G3" s="12" t="s">
        <v>6</v>
      </c>
      <c r="H3" s="13" t="s">
        <v>7</v>
      </c>
    </row>
    <row r="4" spans="3:9" ht="75" x14ac:dyDescent="0.25">
      <c r="C4" s="14"/>
      <c r="D4" s="15" t="s">
        <v>8</v>
      </c>
      <c r="E4" s="16"/>
      <c r="F4" s="17"/>
      <c r="G4" s="18"/>
      <c r="H4" s="19"/>
      <c r="I4" s="20"/>
    </row>
    <row r="5" spans="3:9" s="26" customFormat="1" ht="150" x14ac:dyDescent="0.25">
      <c r="C5" s="21">
        <v>1</v>
      </c>
      <c r="D5" s="22" t="s">
        <v>9</v>
      </c>
      <c r="E5" s="23"/>
      <c r="F5" s="24"/>
      <c r="G5" s="25"/>
      <c r="H5" s="19"/>
      <c r="I5"/>
    </row>
    <row r="6" spans="3:9" s="26" customFormat="1" ht="30" x14ac:dyDescent="0.25">
      <c r="C6" s="21" t="s">
        <v>10</v>
      </c>
      <c r="D6" s="27" t="s">
        <v>11</v>
      </c>
      <c r="E6" s="23"/>
      <c r="F6" s="24"/>
      <c r="G6" s="25"/>
      <c r="H6" s="19"/>
      <c r="I6"/>
    </row>
    <row r="7" spans="3:9" x14ac:dyDescent="0.25">
      <c r="C7" s="28" t="s">
        <v>12</v>
      </c>
      <c r="D7" s="29" t="s">
        <v>13</v>
      </c>
      <c r="E7" s="30" t="s">
        <v>14</v>
      </c>
      <c r="F7" s="31">
        <v>0</v>
      </c>
      <c r="G7" s="32">
        <v>3</v>
      </c>
      <c r="H7" s="33">
        <f t="shared" ref="H7:H13" si="0">ROUND(G7*F7,2)</f>
        <v>0</v>
      </c>
    </row>
    <row r="8" spans="3:9" x14ac:dyDescent="0.25">
      <c r="C8" s="28" t="s">
        <v>15</v>
      </c>
      <c r="D8" s="29" t="s">
        <v>16</v>
      </c>
      <c r="E8" s="30" t="s">
        <v>14</v>
      </c>
      <c r="F8" s="31">
        <v>0</v>
      </c>
      <c r="G8" s="32">
        <v>5</v>
      </c>
      <c r="H8" s="33">
        <f t="shared" si="0"/>
        <v>0</v>
      </c>
    </row>
    <row r="9" spans="3:9" x14ac:dyDescent="0.25">
      <c r="C9" s="28" t="s">
        <v>17</v>
      </c>
      <c r="D9" s="29" t="s">
        <v>18</v>
      </c>
      <c r="E9" s="30" t="s">
        <v>14</v>
      </c>
      <c r="F9" s="31">
        <v>330</v>
      </c>
      <c r="G9" s="34">
        <v>8</v>
      </c>
      <c r="H9" s="33">
        <f t="shared" si="0"/>
        <v>2640</v>
      </c>
    </row>
    <row r="10" spans="3:9" x14ac:dyDescent="0.25">
      <c r="C10" s="28" t="s">
        <v>19</v>
      </c>
      <c r="D10" s="29" t="s">
        <v>20</v>
      </c>
      <c r="E10" s="30" t="s">
        <v>14</v>
      </c>
      <c r="F10" s="31">
        <v>0</v>
      </c>
      <c r="G10" s="32">
        <v>10</v>
      </c>
      <c r="H10" s="33">
        <f t="shared" si="0"/>
        <v>0</v>
      </c>
    </row>
    <row r="11" spans="3:9" x14ac:dyDescent="0.25">
      <c r="C11" s="28" t="s">
        <v>21</v>
      </c>
      <c r="D11" s="29" t="s">
        <v>22</v>
      </c>
      <c r="E11" s="30" t="s">
        <v>14</v>
      </c>
      <c r="F11" s="31">
        <v>0</v>
      </c>
      <c r="G11" s="32">
        <v>12</v>
      </c>
      <c r="H11" s="33">
        <f t="shared" si="0"/>
        <v>0</v>
      </c>
    </row>
    <row r="12" spans="3:9" x14ac:dyDescent="0.25">
      <c r="C12" s="28" t="s">
        <v>23</v>
      </c>
      <c r="D12" s="29" t="s">
        <v>24</v>
      </c>
      <c r="E12" s="30" t="s">
        <v>14</v>
      </c>
      <c r="F12" s="31">
        <v>150</v>
      </c>
      <c r="G12" s="34">
        <v>20</v>
      </c>
      <c r="H12" s="33">
        <f t="shared" si="0"/>
        <v>3000</v>
      </c>
    </row>
    <row r="13" spans="3:9" x14ac:dyDescent="0.25">
      <c r="C13" s="28" t="s">
        <v>25</v>
      </c>
      <c r="D13" s="29" t="s">
        <v>26</v>
      </c>
      <c r="E13" s="30" t="s">
        <v>14</v>
      </c>
      <c r="F13" s="31">
        <v>0</v>
      </c>
      <c r="G13" s="32">
        <v>25</v>
      </c>
      <c r="H13" s="33">
        <f t="shared" si="0"/>
        <v>0</v>
      </c>
    </row>
    <row r="14" spans="3:9" ht="30" x14ac:dyDescent="0.25">
      <c r="C14" s="21" t="s">
        <v>27</v>
      </c>
      <c r="D14" s="27" t="s">
        <v>28</v>
      </c>
      <c r="E14" s="23"/>
      <c r="F14" s="24"/>
      <c r="G14" s="25"/>
      <c r="H14" s="19"/>
    </row>
    <row r="15" spans="3:9" x14ac:dyDescent="0.25">
      <c r="C15" s="28" t="s">
        <v>29</v>
      </c>
      <c r="D15" s="29" t="s">
        <v>13</v>
      </c>
      <c r="E15" s="30" t="s">
        <v>14</v>
      </c>
      <c r="F15" s="31">
        <v>4411</v>
      </c>
      <c r="G15" s="35">
        <v>5</v>
      </c>
      <c r="H15" s="36">
        <f>F15*G15</f>
        <v>22055</v>
      </c>
    </row>
    <row r="16" spans="3:9" x14ac:dyDescent="0.25">
      <c r="C16" s="28" t="s">
        <v>30</v>
      </c>
      <c r="D16" s="29" t="s">
        <v>16</v>
      </c>
      <c r="E16" s="30" t="s">
        <v>14</v>
      </c>
      <c r="F16" s="31">
        <v>3429</v>
      </c>
      <c r="G16" s="35">
        <v>7</v>
      </c>
      <c r="H16" s="37">
        <f t="shared" ref="H16:H21" si="1">ROUND(G16*F16,2)</f>
        <v>24003</v>
      </c>
    </row>
    <row r="17" spans="3:8" x14ac:dyDescent="0.25">
      <c r="C17" s="28" t="s">
        <v>31</v>
      </c>
      <c r="D17" s="29" t="s">
        <v>18</v>
      </c>
      <c r="E17" s="30" t="s">
        <v>14</v>
      </c>
      <c r="F17" s="31">
        <v>12935</v>
      </c>
      <c r="G17" s="35">
        <v>10</v>
      </c>
      <c r="H17" s="37">
        <f t="shared" si="1"/>
        <v>129350</v>
      </c>
    </row>
    <row r="18" spans="3:8" x14ac:dyDescent="0.25">
      <c r="C18" s="28" t="s">
        <v>32</v>
      </c>
      <c r="D18" s="29" t="s">
        <v>20</v>
      </c>
      <c r="E18" s="30" t="s">
        <v>14</v>
      </c>
      <c r="F18" s="31">
        <v>698</v>
      </c>
      <c r="G18" s="35">
        <v>12</v>
      </c>
      <c r="H18" s="37">
        <f t="shared" si="1"/>
        <v>8376</v>
      </c>
    </row>
    <row r="19" spans="3:8" x14ac:dyDescent="0.25">
      <c r="C19" s="28" t="s">
        <v>33</v>
      </c>
      <c r="D19" s="29" t="s">
        <v>22</v>
      </c>
      <c r="E19" s="30" t="s">
        <v>14</v>
      </c>
      <c r="F19" s="31">
        <v>3221</v>
      </c>
      <c r="G19" s="35">
        <v>15</v>
      </c>
      <c r="H19" s="37">
        <f t="shared" si="1"/>
        <v>48315</v>
      </c>
    </row>
    <row r="20" spans="3:8" x14ac:dyDescent="0.25">
      <c r="C20" s="28" t="s">
        <v>34</v>
      </c>
      <c r="D20" s="29" t="s">
        <v>35</v>
      </c>
      <c r="E20" s="30" t="s">
        <v>14</v>
      </c>
      <c r="F20" s="31">
        <f>872+2319</f>
        <v>3191</v>
      </c>
      <c r="G20" s="35">
        <v>20</v>
      </c>
      <c r="H20" s="37">
        <f t="shared" si="1"/>
        <v>63820</v>
      </c>
    </row>
    <row r="21" spans="3:8" x14ac:dyDescent="0.25">
      <c r="C21" s="28" t="s">
        <v>36</v>
      </c>
      <c r="D21" s="29" t="s">
        <v>24</v>
      </c>
      <c r="E21" s="30" t="s">
        <v>14</v>
      </c>
      <c r="F21" s="31">
        <v>913</v>
      </c>
      <c r="G21" s="35">
        <v>25</v>
      </c>
      <c r="H21" s="33">
        <f t="shared" si="1"/>
        <v>22825</v>
      </c>
    </row>
    <row r="22" spans="3:8" x14ac:dyDescent="0.25">
      <c r="C22" s="21">
        <v>2</v>
      </c>
      <c r="D22" s="27" t="s">
        <v>37</v>
      </c>
      <c r="E22" s="23"/>
      <c r="F22" s="24"/>
      <c r="G22" s="25"/>
      <c r="H22" s="19"/>
    </row>
    <row r="23" spans="3:8" ht="45" x14ac:dyDescent="0.25">
      <c r="C23" s="21" t="s">
        <v>38</v>
      </c>
      <c r="D23" s="27" t="s">
        <v>39</v>
      </c>
      <c r="E23" s="23"/>
      <c r="F23" s="24"/>
      <c r="G23" s="25"/>
      <c r="H23" s="19"/>
    </row>
    <row r="24" spans="3:8" x14ac:dyDescent="0.25">
      <c r="C24" s="38" t="s">
        <v>40</v>
      </c>
      <c r="D24" s="29" t="s">
        <v>41</v>
      </c>
      <c r="E24" s="30" t="s">
        <v>42</v>
      </c>
      <c r="F24" s="31">
        <v>0</v>
      </c>
      <c r="G24" s="32">
        <v>250</v>
      </c>
      <c r="H24" s="33">
        <f t="shared" ref="H24:H29" si="2">ROUND(G24*F24,2)</f>
        <v>0</v>
      </c>
    </row>
    <row r="25" spans="3:8" x14ac:dyDescent="0.25">
      <c r="C25" s="38" t="s">
        <v>43</v>
      </c>
      <c r="D25" s="29" t="s">
        <v>44</v>
      </c>
      <c r="E25" s="30" t="s">
        <v>42</v>
      </c>
      <c r="F25" s="31">
        <v>28</v>
      </c>
      <c r="G25" s="35">
        <v>350</v>
      </c>
      <c r="H25" s="33">
        <f t="shared" si="2"/>
        <v>9800</v>
      </c>
    </row>
    <row r="26" spans="3:8" x14ac:dyDescent="0.25">
      <c r="C26" s="38" t="s">
        <v>45</v>
      </c>
      <c r="D26" s="29" t="s">
        <v>46</v>
      </c>
      <c r="E26" s="30" t="s">
        <v>42</v>
      </c>
      <c r="F26" s="31">
        <v>2</v>
      </c>
      <c r="G26" s="35">
        <v>450</v>
      </c>
      <c r="H26" s="33">
        <f t="shared" si="2"/>
        <v>900</v>
      </c>
    </row>
    <row r="27" spans="3:8" x14ac:dyDescent="0.25">
      <c r="C27" s="38" t="s">
        <v>47</v>
      </c>
      <c r="D27" s="29" t="s">
        <v>48</v>
      </c>
      <c r="E27" s="30" t="s">
        <v>42</v>
      </c>
      <c r="F27" s="31">
        <v>5</v>
      </c>
      <c r="G27" s="35">
        <v>550</v>
      </c>
      <c r="H27" s="33">
        <f t="shared" si="2"/>
        <v>2750</v>
      </c>
    </row>
    <row r="28" spans="3:8" x14ac:dyDescent="0.25">
      <c r="C28" s="38" t="s">
        <v>49</v>
      </c>
      <c r="D28" s="29" t="s">
        <v>50</v>
      </c>
      <c r="E28" s="30" t="s">
        <v>42</v>
      </c>
      <c r="F28" s="31">
        <v>4</v>
      </c>
      <c r="G28" s="35">
        <v>650</v>
      </c>
      <c r="H28" s="33">
        <f t="shared" si="2"/>
        <v>2600</v>
      </c>
    </row>
    <row r="29" spans="3:8" x14ac:dyDescent="0.25">
      <c r="C29" s="38" t="s">
        <v>51</v>
      </c>
      <c r="D29" s="29" t="s">
        <v>52</v>
      </c>
      <c r="E29" s="30" t="s">
        <v>42</v>
      </c>
      <c r="F29" s="31">
        <v>0</v>
      </c>
      <c r="G29" s="35">
        <v>750</v>
      </c>
      <c r="H29" s="33">
        <f t="shared" si="2"/>
        <v>0</v>
      </c>
    </row>
    <row r="30" spans="3:8" ht="45" x14ac:dyDescent="0.25">
      <c r="C30" s="21" t="s">
        <v>53</v>
      </c>
      <c r="D30" s="27" t="s">
        <v>54</v>
      </c>
      <c r="E30" s="23"/>
      <c r="F30" s="24"/>
      <c r="G30" s="25"/>
      <c r="H30" s="19"/>
    </row>
    <row r="31" spans="3:8" x14ac:dyDescent="0.25">
      <c r="C31" s="39" t="s">
        <v>55</v>
      </c>
      <c r="D31" s="22" t="s">
        <v>56</v>
      </c>
      <c r="E31" s="30" t="s">
        <v>42</v>
      </c>
      <c r="F31" s="31">
        <v>5</v>
      </c>
      <c r="G31" s="34">
        <v>1000</v>
      </c>
      <c r="H31" s="33">
        <f>ROUND(G31*F31,2)</f>
        <v>5000</v>
      </c>
    </row>
    <row r="32" spans="3:8" ht="45" x14ac:dyDescent="0.25">
      <c r="C32" s="21" t="s">
        <v>57</v>
      </c>
      <c r="D32" s="27" t="s">
        <v>58</v>
      </c>
      <c r="E32" s="23"/>
      <c r="F32" s="24"/>
      <c r="G32" s="25"/>
      <c r="H32" s="19"/>
    </row>
    <row r="33" spans="3:8" x14ac:dyDescent="0.25">
      <c r="C33" s="39" t="s">
        <v>59</v>
      </c>
      <c r="D33" s="22" t="s">
        <v>60</v>
      </c>
      <c r="E33" s="30" t="s">
        <v>42</v>
      </c>
      <c r="F33" s="31">
        <v>7</v>
      </c>
      <c r="G33" s="34">
        <v>1500</v>
      </c>
      <c r="H33" s="33">
        <f>ROUND(G33*F33,2)</f>
        <v>10500</v>
      </c>
    </row>
    <row r="34" spans="3:8" ht="30" x14ac:dyDescent="0.25">
      <c r="C34" s="21" t="s">
        <v>61</v>
      </c>
      <c r="D34" s="27" t="s">
        <v>62</v>
      </c>
      <c r="E34" s="23"/>
      <c r="F34" s="24"/>
      <c r="G34" s="25"/>
      <c r="H34" s="19"/>
    </row>
    <row r="35" spans="3:8" x14ac:dyDescent="0.25">
      <c r="C35" s="39" t="s">
        <v>63</v>
      </c>
      <c r="D35" s="22" t="s">
        <v>64</v>
      </c>
      <c r="E35" s="30" t="s">
        <v>42</v>
      </c>
      <c r="F35" s="31">
        <v>4</v>
      </c>
      <c r="G35" s="35">
        <v>550</v>
      </c>
      <c r="H35" s="33">
        <f>ROUND(G35*F35,2)</f>
        <v>2200</v>
      </c>
    </row>
    <row r="36" spans="3:8" ht="30" x14ac:dyDescent="0.25">
      <c r="C36" s="21" t="s">
        <v>65</v>
      </c>
      <c r="D36" s="27" t="s">
        <v>66</v>
      </c>
      <c r="E36" s="23"/>
      <c r="F36" s="24"/>
      <c r="G36" s="25"/>
      <c r="H36" s="19"/>
    </row>
    <row r="37" spans="3:8" x14ac:dyDescent="0.25">
      <c r="C37" s="39" t="s">
        <v>67</v>
      </c>
      <c r="D37" s="22" t="s">
        <v>68</v>
      </c>
      <c r="E37" s="30" t="s">
        <v>42</v>
      </c>
      <c r="F37" s="31">
        <v>6</v>
      </c>
      <c r="G37" s="35">
        <v>550</v>
      </c>
      <c r="H37" s="33">
        <f>ROUND(G37*F37,2)</f>
        <v>3300</v>
      </c>
    </row>
    <row r="38" spans="3:8" x14ac:dyDescent="0.25">
      <c r="C38" s="21" t="s">
        <v>69</v>
      </c>
      <c r="D38" s="27" t="s">
        <v>70</v>
      </c>
      <c r="E38" s="23"/>
      <c r="F38" s="24"/>
      <c r="G38" s="25"/>
      <c r="H38" s="19"/>
    </row>
    <row r="39" spans="3:8" ht="45" x14ac:dyDescent="0.25">
      <c r="C39" s="39" t="s">
        <v>71</v>
      </c>
      <c r="D39" s="29" t="s">
        <v>72</v>
      </c>
      <c r="E39" s="30" t="s">
        <v>42</v>
      </c>
      <c r="F39" s="31">
        <v>299</v>
      </c>
      <c r="G39" s="35">
        <v>350</v>
      </c>
      <c r="H39" s="33">
        <f>ROUND(G39*F39,2)</f>
        <v>104650</v>
      </c>
    </row>
    <row r="40" spans="3:8" ht="30" x14ac:dyDescent="0.25">
      <c r="C40" s="39" t="s">
        <v>73</v>
      </c>
      <c r="D40" s="29" t="s">
        <v>74</v>
      </c>
      <c r="E40" s="30" t="s">
        <v>42</v>
      </c>
      <c r="F40" s="31">
        <v>97</v>
      </c>
      <c r="G40" s="35">
        <v>375</v>
      </c>
      <c r="H40" s="33">
        <f>ROUND(G40*F40,2)</f>
        <v>36375</v>
      </c>
    </row>
    <row r="41" spans="3:8" ht="75" x14ac:dyDescent="0.25">
      <c r="C41" s="39" t="s">
        <v>75</v>
      </c>
      <c r="D41" s="29" t="s">
        <v>76</v>
      </c>
      <c r="E41" s="30" t="s">
        <v>42</v>
      </c>
      <c r="F41" s="31">
        <f>F39</f>
        <v>299</v>
      </c>
      <c r="G41" s="40">
        <v>100</v>
      </c>
      <c r="H41" s="33">
        <f>ROUND(G41*F41,2)</f>
        <v>29900</v>
      </c>
    </row>
    <row r="42" spans="3:8" x14ac:dyDescent="0.25">
      <c r="C42" s="21">
        <v>3</v>
      </c>
      <c r="D42" s="27" t="s">
        <v>77</v>
      </c>
      <c r="E42" s="23"/>
      <c r="F42" s="24"/>
      <c r="G42" s="25"/>
      <c r="H42" s="19"/>
    </row>
    <row r="43" spans="3:8" s="45" customFormat="1" x14ac:dyDescent="0.25">
      <c r="C43" s="41" t="s">
        <v>78</v>
      </c>
      <c r="D43" s="22" t="s">
        <v>79</v>
      </c>
      <c r="E43" s="42" t="s">
        <v>14</v>
      </c>
      <c r="F43" s="43">
        <v>1357</v>
      </c>
      <c r="G43" s="35">
        <v>5</v>
      </c>
      <c r="H43" s="44">
        <f>ROUND(G43*F43,2)</f>
        <v>6785</v>
      </c>
    </row>
    <row r="44" spans="3:8" s="45" customFormat="1" x14ac:dyDescent="0.25">
      <c r="C44" s="41" t="s">
        <v>80</v>
      </c>
      <c r="D44" s="22" t="s">
        <v>81</v>
      </c>
      <c r="E44" s="42" t="s">
        <v>14</v>
      </c>
      <c r="F44" s="43">
        <f>7788+1836</f>
        <v>9624</v>
      </c>
      <c r="G44" s="35">
        <v>10</v>
      </c>
      <c r="H44" s="44">
        <f>ROUND(G44*F44,2)</f>
        <v>96240</v>
      </c>
    </row>
    <row r="45" spans="3:8" s="45" customFormat="1" ht="17.25" x14ac:dyDescent="0.25">
      <c r="C45" s="41" t="s">
        <v>82</v>
      </c>
      <c r="D45" s="46" t="s">
        <v>83</v>
      </c>
      <c r="E45" s="42" t="s">
        <v>84</v>
      </c>
      <c r="F45" s="43">
        <f>F43*0.6</f>
        <v>814.19999999999993</v>
      </c>
      <c r="G45" s="40">
        <v>30</v>
      </c>
      <c r="H45" s="44">
        <f>ROUND(G45*F45,2)</f>
        <v>24426</v>
      </c>
    </row>
    <row r="46" spans="3:8" s="45" customFormat="1" ht="17.25" x14ac:dyDescent="0.25">
      <c r="C46" s="41" t="s">
        <v>85</v>
      </c>
      <c r="D46" s="46" t="s">
        <v>86</v>
      </c>
      <c r="E46" s="42" t="s">
        <v>84</v>
      </c>
      <c r="F46" s="43">
        <f>F44*0.8</f>
        <v>7699.2000000000007</v>
      </c>
      <c r="G46" s="35">
        <v>20</v>
      </c>
      <c r="H46" s="44">
        <f>ROUND(G46*F46,2)</f>
        <v>153984</v>
      </c>
    </row>
    <row r="47" spans="3:8" s="45" customFormat="1" ht="30" x14ac:dyDescent="0.25">
      <c r="C47" s="41" t="s">
        <v>87</v>
      </c>
      <c r="D47" s="22" t="s">
        <v>88</v>
      </c>
      <c r="E47" s="42" t="s">
        <v>89</v>
      </c>
      <c r="F47" s="43">
        <v>0</v>
      </c>
      <c r="G47" s="47">
        <v>25</v>
      </c>
      <c r="H47" s="44">
        <f>F47*G47</f>
        <v>0</v>
      </c>
    </row>
    <row r="48" spans="3:8" s="45" customFormat="1" ht="30" x14ac:dyDescent="0.25">
      <c r="C48" s="48">
        <v>4</v>
      </c>
      <c r="D48" s="49" t="s">
        <v>90</v>
      </c>
      <c r="E48" s="42"/>
      <c r="F48" s="43"/>
      <c r="G48" s="47"/>
      <c r="H48" s="50"/>
    </row>
    <row r="49" spans="3:9" s="45" customFormat="1" x14ac:dyDescent="0.25">
      <c r="C49" s="51" t="s">
        <v>91</v>
      </c>
      <c r="D49" s="46" t="s">
        <v>92</v>
      </c>
      <c r="E49" s="42" t="s">
        <v>42</v>
      </c>
      <c r="F49" s="52">
        <v>37</v>
      </c>
      <c r="G49" s="53">
        <v>1500</v>
      </c>
      <c r="H49" s="44">
        <f>ROUND(G49*F49,2)</f>
        <v>55500</v>
      </c>
    </row>
    <row r="50" spans="3:9" s="45" customFormat="1" x14ac:dyDescent="0.25">
      <c r="C50" s="51" t="s">
        <v>93</v>
      </c>
      <c r="D50" s="46" t="s">
        <v>94</v>
      </c>
      <c r="E50" s="42" t="s">
        <v>42</v>
      </c>
      <c r="F50" s="52">
        <v>13</v>
      </c>
      <c r="G50" s="53">
        <v>1750</v>
      </c>
      <c r="H50" s="44">
        <f>ROUND(G50*F50,2)</f>
        <v>22750</v>
      </c>
    </row>
    <row r="51" spans="3:9" s="45" customFormat="1" x14ac:dyDescent="0.25">
      <c r="C51" s="51" t="s">
        <v>95</v>
      </c>
      <c r="D51" s="46" t="s">
        <v>96</v>
      </c>
      <c r="E51" s="42" t="s">
        <v>42</v>
      </c>
      <c r="F51" s="54">
        <v>7</v>
      </c>
      <c r="G51" s="53">
        <v>1850</v>
      </c>
      <c r="H51" s="44">
        <f>ROUND(G51*F51,2)</f>
        <v>12950</v>
      </c>
    </row>
    <row r="52" spans="3:9" x14ac:dyDescent="0.25">
      <c r="C52" s="21">
        <v>5</v>
      </c>
      <c r="D52" s="55" t="s">
        <v>97</v>
      </c>
      <c r="E52" s="30"/>
      <c r="F52" s="56"/>
      <c r="G52" s="32"/>
      <c r="H52" s="19"/>
    </row>
    <row r="53" spans="3:9" x14ac:dyDescent="0.25">
      <c r="C53" s="57" t="s">
        <v>98</v>
      </c>
      <c r="D53" s="55" t="s">
        <v>99</v>
      </c>
      <c r="E53" s="30"/>
      <c r="F53" s="56"/>
      <c r="G53" s="32"/>
      <c r="H53" s="19"/>
    </row>
    <row r="54" spans="3:9" ht="32.25" x14ac:dyDescent="0.25">
      <c r="C54" s="38" t="s">
        <v>100</v>
      </c>
      <c r="D54" s="22" t="s">
        <v>101</v>
      </c>
      <c r="E54" s="30" t="s">
        <v>102</v>
      </c>
      <c r="F54" s="56">
        <v>1</v>
      </c>
      <c r="G54" s="58">
        <f>[1]R200!H2</f>
        <v>156646.85999999999</v>
      </c>
      <c r="H54" s="33">
        <f>ROUND(G54*F54,2)</f>
        <v>156646.85999999999</v>
      </c>
    </row>
    <row r="55" spans="3:9" ht="30" x14ac:dyDescent="0.25">
      <c r="C55" s="57" t="s">
        <v>103</v>
      </c>
      <c r="D55" s="27" t="s">
        <v>104</v>
      </c>
      <c r="E55" s="30"/>
      <c r="F55" s="56"/>
      <c r="G55" s="32"/>
      <c r="H55" s="19"/>
    </row>
    <row r="56" spans="3:9" x14ac:dyDescent="0.25">
      <c r="C56" s="38" t="s">
        <v>105</v>
      </c>
      <c r="D56" s="29" t="s">
        <v>106</v>
      </c>
      <c r="E56" s="30" t="s">
        <v>42</v>
      </c>
      <c r="F56" s="56">
        <v>2</v>
      </c>
      <c r="G56" s="35">
        <v>500</v>
      </c>
      <c r="H56" s="33">
        <f>ROUND(G56*F56,2)</f>
        <v>1000</v>
      </c>
      <c r="I56" s="59"/>
    </row>
    <row r="57" spans="3:9" x14ac:dyDescent="0.25">
      <c r="C57" s="38" t="s">
        <v>107</v>
      </c>
      <c r="D57" s="29" t="s">
        <v>108</v>
      </c>
      <c r="E57" s="30" t="s">
        <v>42</v>
      </c>
      <c r="F57" s="56">
        <v>4</v>
      </c>
      <c r="G57" s="35">
        <v>750</v>
      </c>
      <c r="H57" s="33">
        <f>ROUND(G57*F57,2)</f>
        <v>3000</v>
      </c>
      <c r="I57" s="59"/>
    </row>
    <row r="58" spans="3:9" x14ac:dyDescent="0.25">
      <c r="C58" s="38" t="s">
        <v>109</v>
      </c>
      <c r="D58" s="29" t="s">
        <v>110</v>
      </c>
      <c r="E58" s="30" t="s">
        <v>42</v>
      </c>
      <c r="F58" s="56">
        <v>1</v>
      </c>
      <c r="G58" s="60">
        <v>1200</v>
      </c>
      <c r="H58" s="33">
        <f>ROUND(G58*F58,2)</f>
        <v>1200</v>
      </c>
      <c r="I58" s="59"/>
    </row>
    <row r="59" spans="3:9" x14ac:dyDescent="0.25">
      <c r="C59" s="38" t="s">
        <v>111</v>
      </c>
      <c r="D59" s="29" t="s">
        <v>112</v>
      </c>
      <c r="E59" s="30" t="s">
        <v>42</v>
      </c>
      <c r="F59" s="56">
        <v>1</v>
      </c>
      <c r="G59" s="35">
        <v>800</v>
      </c>
      <c r="H59" s="33">
        <f t="shared" ref="H59:H67" si="3">ROUND(G59*F59,2)</f>
        <v>800</v>
      </c>
      <c r="I59" s="59"/>
    </row>
    <row r="60" spans="3:9" x14ac:dyDescent="0.25">
      <c r="C60" s="38" t="s">
        <v>113</v>
      </c>
      <c r="D60" s="29" t="s">
        <v>114</v>
      </c>
      <c r="E60" s="30" t="s">
        <v>42</v>
      </c>
      <c r="F60" s="56">
        <v>1</v>
      </c>
      <c r="G60" s="35">
        <v>850</v>
      </c>
      <c r="H60" s="33">
        <f t="shared" si="3"/>
        <v>850</v>
      </c>
      <c r="I60" s="59"/>
    </row>
    <row r="61" spans="3:9" x14ac:dyDescent="0.25">
      <c r="C61" s="38" t="s">
        <v>115</v>
      </c>
      <c r="D61" s="29" t="s">
        <v>116</v>
      </c>
      <c r="E61" s="30" t="s">
        <v>42</v>
      </c>
      <c r="F61" s="56">
        <v>1</v>
      </c>
      <c r="G61" s="32">
        <v>2200</v>
      </c>
      <c r="H61" s="33">
        <f t="shared" si="3"/>
        <v>2200</v>
      </c>
      <c r="I61" s="45"/>
    </row>
    <row r="62" spans="3:9" ht="17.25" x14ac:dyDescent="0.25">
      <c r="C62" s="38" t="s">
        <v>117</v>
      </c>
      <c r="D62" s="29" t="s">
        <v>118</v>
      </c>
      <c r="E62" s="30" t="s">
        <v>84</v>
      </c>
      <c r="F62" s="56">
        <v>100</v>
      </c>
      <c r="G62" s="32">
        <v>40</v>
      </c>
      <c r="H62" s="33">
        <f t="shared" si="3"/>
        <v>4000</v>
      </c>
    </row>
    <row r="63" spans="3:9" ht="45" x14ac:dyDescent="0.25">
      <c r="C63" s="38" t="s">
        <v>119</v>
      </c>
      <c r="D63" s="29" t="s">
        <v>120</v>
      </c>
      <c r="E63" s="30" t="s">
        <v>89</v>
      </c>
      <c r="F63" s="56">
        <v>356</v>
      </c>
      <c r="G63" s="35">
        <v>5</v>
      </c>
      <c r="H63" s="33">
        <f t="shared" si="3"/>
        <v>1780</v>
      </c>
    </row>
    <row r="64" spans="3:9" ht="17.25" x14ac:dyDescent="0.25">
      <c r="C64" s="38" t="s">
        <v>121</v>
      </c>
      <c r="D64" s="29" t="s">
        <v>122</v>
      </c>
      <c r="E64" s="30" t="s">
        <v>89</v>
      </c>
      <c r="F64" s="56">
        <v>224</v>
      </c>
      <c r="G64" s="35">
        <v>5</v>
      </c>
      <c r="H64" s="33">
        <f t="shared" si="3"/>
        <v>1120</v>
      </c>
    </row>
    <row r="65" spans="3:8" x14ac:dyDescent="0.25">
      <c r="C65" s="38" t="s">
        <v>123</v>
      </c>
      <c r="D65" s="22" t="s">
        <v>124</v>
      </c>
      <c r="E65" s="30" t="s">
        <v>102</v>
      </c>
      <c r="F65" s="56">
        <v>1</v>
      </c>
      <c r="G65" s="40">
        <v>5000</v>
      </c>
      <c r="H65" s="33">
        <f t="shared" si="3"/>
        <v>5000</v>
      </c>
    </row>
    <row r="66" spans="3:8" x14ac:dyDescent="0.25">
      <c r="C66" s="21" t="s">
        <v>125</v>
      </c>
      <c r="D66" s="55" t="s">
        <v>126</v>
      </c>
      <c r="E66" s="30"/>
      <c r="F66" s="56"/>
      <c r="G66" s="32"/>
      <c r="H66" s="19"/>
    </row>
    <row r="67" spans="3:8" x14ac:dyDescent="0.25">
      <c r="C67" s="39" t="s">
        <v>127</v>
      </c>
      <c r="D67" s="22" t="s">
        <v>128</v>
      </c>
      <c r="E67" s="30" t="s">
        <v>129</v>
      </c>
      <c r="F67" s="61">
        <v>1</v>
      </c>
      <c r="G67" s="40">
        <v>50000</v>
      </c>
      <c r="H67" s="33">
        <f t="shared" si="3"/>
        <v>50000</v>
      </c>
    </row>
    <row r="68" spans="3:8" x14ac:dyDescent="0.25">
      <c r="C68" s="21">
        <v>6</v>
      </c>
      <c r="D68" s="55" t="s">
        <v>130</v>
      </c>
      <c r="E68" s="30"/>
      <c r="F68" s="31"/>
      <c r="G68" s="62"/>
      <c r="H68" s="19"/>
    </row>
    <row r="69" spans="3:8" x14ac:dyDescent="0.25">
      <c r="C69" s="39" t="s">
        <v>131</v>
      </c>
      <c r="D69" s="29" t="s">
        <v>132</v>
      </c>
      <c r="E69" s="30" t="s">
        <v>14</v>
      </c>
      <c r="F69" s="31">
        <v>90</v>
      </c>
      <c r="G69" s="40">
        <v>55</v>
      </c>
      <c r="H69" s="33">
        <f>ROUND(G69*F69,2)</f>
        <v>4950</v>
      </c>
    </row>
    <row r="70" spans="3:8" ht="15.75" thickBot="1" x14ac:dyDescent="0.3">
      <c r="C70" s="63" t="s">
        <v>133</v>
      </c>
      <c r="D70" s="64" t="s">
        <v>134</v>
      </c>
      <c r="E70" s="65" t="s">
        <v>102</v>
      </c>
      <c r="F70" s="66">
        <v>2</v>
      </c>
      <c r="G70" s="67">
        <v>1000</v>
      </c>
      <c r="H70" s="68">
        <f>F70*G70</f>
        <v>2000</v>
      </c>
    </row>
    <row r="71" spans="3:8" ht="60" customHeight="1" x14ac:dyDescent="0.25"/>
  </sheetData>
  <mergeCells count="3">
    <mergeCell ref="C1:H1"/>
    <mergeCell ref="E2:G2"/>
    <mergeCell ref="I56:I60"/>
  </mergeCells>
  <pageMargins left="0.70866141732283505" right="0.70866141732283505" top="0.74803149606299202" bottom="0.74803149606299202" header="0.31496062992126" footer="0.31496062992126"/>
  <pageSetup paperSize="9" scale="63" firstPageNumber="23" fitToHeight="0" orientation="portrait" useFirstPageNumber="1" r:id="rId1"/>
  <headerFooter>
    <oddHeader>&amp;LSection IV. Bidding Forms&amp;CBill of Quantities LOT 2A&amp;R&amp;P</oddHeader>
    <oddFooter>&amp;LRural Ajara Programme LOT2 (ICB - 505 447)&amp;RBidding Documents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WS01</vt:lpstr>
      <vt:lpstr>'WS01'!Print_Area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Irakli Gogichaishvili</dc:creator>
  <cp:lastModifiedBy>Irakli Gogichaishvili</cp:lastModifiedBy>
  <dcterms:created xsi:type="dcterms:W3CDTF">2025-10-02T06:56:23Z</dcterms:created>
  <dcterms:modified xsi:type="dcterms:W3CDTF">2025-10-02T06:56:46Z</dcterms:modified>
</cp:coreProperties>
</file>