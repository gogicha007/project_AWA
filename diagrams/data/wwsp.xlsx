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DES\project_man\diagrams\data\"/>
    </mc:Choice>
  </mc:AlternateContent>
  <xr:revisionPtr revIDLastSave="0" documentId="8_{14365E21-44E8-49C8-925D-C7A038F75554}" xr6:coauthVersionLast="47" xr6:coauthVersionMax="47" xr10:uidLastSave="{00000000-0000-0000-0000-000000000000}"/>
  <bookViews>
    <workbookView xWindow="-120" yWindow="-120" windowWidth="29040" windowHeight="15720" xr2:uid="{3CF61D0C-2256-4651-B7AC-D19788B58D1B}"/>
  </bookViews>
  <sheets>
    <sheet name="WWSP" sheetId="1" r:id="rId1"/>
  </sheets>
  <definedNames>
    <definedName name="_xlnm.Print_Area" localSheetId="0">WWSP!$B$1:$G$17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6" i="1" l="1"/>
  <c r="G15" i="1"/>
  <c r="G13" i="1"/>
  <c r="G12" i="1"/>
  <c r="G10" i="1"/>
  <c r="G9" i="1"/>
  <c r="G7" i="1"/>
  <c r="G6" i="1"/>
  <c r="G2" i="1" s="1"/>
</calcChain>
</file>

<file path=xl/sharedStrings.xml><?xml version="1.0" encoding="utf-8"?>
<sst xmlns="http://schemas.openxmlformats.org/spreadsheetml/2006/main" count="38" uniqueCount="33">
  <si>
    <t>WWSP</t>
  </si>
  <si>
    <t>Description of work</t>
  </si>
  <si>
    <t>Supply and deliver of sewer pipes, including all fittings and joints necessary for complete installation</t>
  </si>
  <si>
    <t>1.1</t>
  </si>
  <si>
    <t>Polypropylene (PP) pipes SN8</t>
  </si>
  <si>
    <t>1.1.1</t>
  </si>
  <si>
    <t>PP pipes DN110</t>
  </si>
  <si>
    <t>m</t>
  </si>
  <si>
    <t>1.1.2</t>
  </si>
  <si>
    <t>PP pipes DN150</t>
  </si>
  <si>
    <t>1.2</t>
  </si>
  <si>
    <t>Polypropylene (PP) perforated pipes SN8</t>
  </si>
  <si>
    <t>1.2.1</t>
  </si>
  <si>
    <t>PP 2mm perforated pipes DN110</t>
  </si>
  <si>
    <t>1.2.2</t>
  </si>
  <si>
    <t>PP 3mm perforated pipes DN150</t>
  </si>
  <si>
    <t>Supply, deliver and installation of sewer appurtenances</t>
  </si>
  <si>
    <t>2.1</t>
  </si>
  <si>
    <r>
      <rPr>
        <b/>
        <sz val="11"/>
        <color theme="1"/>
        <rFont val="Calibri"/>
        <family val="1"/>
        <scheme val="minor"/>
      </rPr>
      <t xml:space="preserve">PP Inspection Chamber DN400 inlet/outlet DN110 / DN150 for house connections and along the sewer pipes, </t>
    </r>
    <r>
      <rPr>
        <sz val="11"/>
        <color theme="1"/>
        <rFont val="Calibri"/>
        <family val="2"/>
        <scheme val="minor"/>
      </rPr>
      <t>including chamber rider pipe DN400 of 1.5m height; telescopic cover, DN315, B125 with ventilation holes on top (inside house yard, out of vehicle traffic); additional earthworks than those included in the pipe trench (excavation, base preparation and backfill); installation testing</t>
    </r>
  </si>
  <si>
    <t>LS</t>
  </si>
  <si>
    <t>2.2</t>
  </si>
  <si>
    <t>PP Inspection Chamber DN400 inlet/outlet DN110 / DN150 for house connections and along the sewer pipes, including chamber rider pipe DN400 of 1,5 m height; telescopic cover, DN315, D400 with ventilation holes on top (for traffic load); additional earthworks than those included in the pipe trench (excavation, base preparation and backfill); water tightness test</t>
  </si>
  <si>
    <t>Supply and deliver of plastic septic tanks</t>
  </si>
  <si>
    <t>Plastic septic tank type 5PAX and 10PAX (same size)</t>
  </si>
  <si>
    <t>no.</t>
  </si>
  <si>
    <t>Provision of sludge level monitoring unit</t>
  </si>
  <si>
    <t xml:space="preserve"> </t>
  </si>
  <si>
    <t>Bill of Quantity for Sanitation Surplus Equipment - LOT 2A</t>
  </si>
  <si>
    <t>Item#</t>
  </si>
  <si>
    <t>Unit</t>
  </si>
  <si>
    <t xml:space="preserve">Quantity </t>
  </si>
  <si>
    <t>Price per unit</t>
  </si>
  <si>
    <t xml:space="preserve">Total price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</si>
</sst>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.00\ _₾_-;\-* #,##0.00\ _₾_-;_-* &quot;-&quot;??\ _₾_-;_-@_-"/>
    <numFmt numFmtId="166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color theme="1"/>
      <name val="Calibri"/>
      <family val="1"/>
      <scheme val="minor"/>
    </font>
    <font>
      <b/>
      <sz val="12"/>
      <color theme="1"/>
      <name val="Calibri"/>
      <family val="1"/>
      <scheme val="minor"/>
    </font>
    <font>
      <b/>
      <sz val="11"/>
      <color theme="1"/>
      <name val="Calibri"/>
      <family val="1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9" fontId="0" fillId="0" borderId="0" xfId="0" applyNumberFormat="1"/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  <xf numFmtId="0" fontId="3" fillId="0" borderId="6" xfId="0" applyFont="1" applyBorder="1" applyAlignment="1">
      <alignment horizontal="right" vertical="center"/>
    </xf>
    <xf numFmtId="164" fontId="3" fillId="0" borderId="7" xfId="0" applyNumberFormat="1" applyFont="1" applyBorder="1" applyAlignment="1">
      <alignment vertical="center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164" fontId="4" fillId="0" borderId="9" xfId="0" applyNumberFormat="1" applyFont="1" applyBorder="1" applyAlignment="1">
      <alignment horizontal="center" vertical="center" wrapText="1"/>
    </xf>
    <xf numFmtId="164" fontId="4" fillId="0" borderId="10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center" vertical="center"/>
    </xf>
    <xf numFmtId="164" fontId="4" fillId="0" borderId="12" xfId="0" applyNumberFormat="1" applyFont="1" applyBorder="1" applyAlignment="1">
      <alignment horizontal="center" vertical="center"/>
    </xf>
    <xf numFmtId="164" fontId="4" fillId="0" borderId="12" xfId="0" applyNumberFormat="1" applyFont="1" applyBorder="1" applyAlignment="1" applyProtection="1">
      <alignment horizontal="center" vertical="center" wrapText="1"/>
      <protection locked="0"/>
    </xf>
    <xf numFmtId="164" fontId="0" fillId="0" borderId="13" xfId="1" applyFont="1" applyFill="1" applyBorder="1" applyAlignment="1">
      <alignment horizontal="center" vertical="center"/>
    </xf>
    <xf numFmtId="0" fontId="4" fillId="0" borderId="0" xfId="0" applyFont="1"/>
    <xf numFmtId="0" fontId="0" fillId="0" borderId="14" xfId="0" applyBorder="1" applyAlignment="1">
      <alignment horizontal="center" vertical="center"/>
    </xf>
    <xf numFmtId="0" fontId="0" fillId="0" borderId="12" xfId="0" applyBorder="1" applyAlignment="1">
      <alignment horizontal="left" vertical="top" wrapText="1"/>
    </xf>
    <xf numFmtId="0" fontId="0" fillId="0" borderId="15" xfId="0" applyBorder="1" applyAlignment="1">
      <alignment horizontal="center" vertical="center"/>
    </xf>
    <xf numFmtId="164" fontId="0" fillId="0" borderId="12" xfId="1" applyFont="1" applyFill="1" applyBorder="1" applyAlignment="1">
      <alignment horizontal="center" vertical="center"/>
    </xf>
    <xf numFmtId="164" fontId="0" fillId="0" borderId="12" xfId="1" applyFont="1" applyFill="1" applyBorder="1" applyAlignment="1" applyProtection="1">
      <alignment horizontal="center" vertical="center"/>
      <protection locked="0"/>
    </xf>
    <xf numFmtId="164" fontId="0" fillId="0" borderId="16" xfId="1" applyFont="1" applyFill="1" applyBorder="1" applyAlignment="1">
      <alignment horizontal="center" vertical="center"/>
    </xf>
    <xf numFmtId="165" fontId="0" fillId="0" borderId="0" xfId="0" applyNumberFormat="1"/>
    <xf numFmtId="0" fontId="0" fillId="0" borderId="0" xfId="0" applyAlignment="1">
      <alignment horizontal="center" wrapText="1"/>
    </xf>
    <xf numFmtId="2" fontId="0" fillId="0" borderId="11" xfId="0" applyNumberFormat="1" applyBorder="1" applyAlignment="1">
      <alignment horizontal="center" vertical="center"/>
    </xf>
    <xf numFmtId="0" fontId="0" fillId="0" borderId="12" xfId="0" applyBorder="1" applyAlignment="1">
      <alignment vertical="top" wrapText="1"/>
    </xf>
    <xf numFmtId="0" fontId="0" fillId="0" borderId="12" xfId="0" applyBorder="1" applyAlignment="1">
      <alignment horizontal="center" vertical="center"/>
    </xf>
    <xf numFmtId="0" fontId="4" fillId="0" borderId="12" xfId="0" applyFont="1" applyBorder="1" applyAlignment="1">
      <alignment wrapText="1"/>
    </xf>
    <xf numFmtId="166" fontId="0" fillId="0" borderId="11" xfId="0" applyNumberFormat="1" applyBorder="1" applyAlignment="1">
      <alignment horizontal="center" vertical="center"/>
    </xf>
    <xf numFmtId="0" fontId="0" fillId="0" borderId="12" xfId="0" applyBorder="1" applyAlignment="1">
      <alignment wrapText="1"/>
    </xf>
    <xf numFmtId="0" fontId="0" fillId="0" borderId="17" xfId="0" applyBorder="1" applyAlignment="1">
      <alignment horizontal="center" vertical="center"/>
    </xf>
    <xf numFmtId="164" fontId="0" fillId="0" borderId="17" xfId="1" applyFont="1" applyFill="1" applyBorder="1" applyAlignment="1">
      <alignment horizontal="center" vertical="center"/>
    </xf>
    <xf numFmtId="164" fontId="0" fillId="0" borderId="18" xfId="1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vertical="center" wrapText="1"/>
    </xf>
    <xf numFmtId="0" fontId="0" fillId="0" borderId="20" xfId="0" applyBorder="1" applyAlignment="1">
      <alignment horizontal="center" vertical="center"/>
    </xf>
    <xf numFmtId="164" fontId="0" fillId="0" borderId="20" xfId="1" applyFont="1" applyFill="1" applyBorder="1" applyAlignment="1">
      <alignment horizontal="center" vertical="center"/>
    </xf>
    <xf numFmtId="164" fontId="0" fillId="0" borderId="20" xfId="1" applyFont="1" applyFill="1" applyBorder="1" applyAlignment="1" applyProtection="1">
      <alignment horizontal="center" vertical="center"/>
      <protection locked="0"/>
    </xf>
    <xf numFmtId="164" fontId="0" fillId="0" borderId="21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9D460-0A2A-4ACE-BACF-91C66DFAC31B}">
  <sheetPr>
    <tabColor theme="7" tint="0.59996337778862885"/>
    <pageSetUpPr fitToPage="1"/>
  </sheetPr>
  <dimension ref="B1:K20"/>
  <sheetViews>
    <sheetView tabSelected="1" view="pageBreakPreview" zoomScale="85" zoomScaleNormal="70" zoomScaleSheetLayoutView="85" workbookViewId="0">
      <pane ySplit="3" topLeftCell="A8" activePane="bottomLeft" state="frozen"/>
      <selection activeCell="K25" sqref="K25"/>
      <selection pane="bottomLeft" activeCell="E13" sqref="E13"/>
    </sheetView>
  </sheetViews>
  <sheetFormatPr defaultColWidth="8.85546875" defaultRowHeight="15" outlineLevelRow="1" x14ac:dyDescent="0.25"/>
  <cols>
    <col min="1" max="1" width="2.85546875" customWidth="1"/>
    <col min="2" max="2" width="8.5703125" style="45" customWidth="1"/>
    <col min="3" max="3" width="40.5703125" customWidth="1"/>
    <col min="4" max="4" width="5.5703125" customWidth="1"/>
    <col min="5" max="7" width="12.5703125" style="46" customWidth="1"/>
  </cols>
  <sheetData>
    <row r="1" spans="2:11" ht="39.950000000000003" customHeight="1" thickBot="1" x14ac:dyDescent="0.3">
      <c r="B1" s="1" t="s">
        <v>27</v>
      </c>
      <c r="C1" s="2"/>
      <c r="D1" s="2"/>
      <c r="E1" s="2"/>
      <c r="F1" s="2"/>
      <c r="G1" s="3"/>
      <c r="I1" s="4"/>
    </row>
    <row r="2" spans="2:11" ht="16.5" thickBot="1" x14ac:dyDescent="0.3">
      <c r="B2" s="5" t="s">
        <v>0</v>
      </c>
      <c r="C2" s="6"/>
      <c r="D2" s="7"/>
      <c r="E2" s="7"/>
      <c r="F2" s="8"/>
      <c r="G2" s="9">
        <f>SUM(G3:G17)</f>
        <v>37700</v>
      </c>
    </row>
    <row r="3" spans="2:11" ht="30" x14ac:dyDescent="0.25">
      <c r="B3" s="10" t="s">
        <v>28</v>
      </c>
      <c r="C3" s="11" t="s">
        <v>1</v>
      </c>
      <c r="D3" s="12" t="s">
        <v>29</v>
      </c>
      <c r="E3" s="13" t="s">
        <v>30</v>
      </c>
      <c r="F3" s="13" t="s">
        <v>31</v>
      </c>
      <c r="G3" s="14" t="s">
        <v>32</v>
      </c>
    </row>
    <row r="4" spans="2:11" s="21" customFormat="1" ht="78" customHeight="1" x14ac:dyDescent="0.25">
      <c r="B4" s="15">
        <v>1</v>
      </c>
      <c r="C4" s="16" t="s">
        <v>2</v>
      </c>
      <c r="D4" s="17"/>
      <c r="E4" s="18"/>
      <c r="F4" s="19"/>
      <c r="G4" s="20"/>
    </row>
    <row r="5" spans="2:11" s="21" customFormat="1" x14ac:dyDescent="0.25">
      <c r="B5" s="15" t="s">
        <v>3</v>
      </c>
      <c r="C5" s="16" t="s">
        <v>4</v>
      </c>
      <c r="D5" s="17"/>
      <c r="E5" s="18"/>
      <c r="F5" s="19"/>
      <c r="G5" s="20"/>
      <c r="H5"/>
    </row>
    <row r="6" spans="2:11" x14ac:dyDescent="0.25">
      <c r="B6" s="22" t="s">
        <v>5</v>
      </c>
      <c r="C6" s="23" t="s">
        <v>6</v>
      </c>
      <c r="D6" s="24" t="s">
        <v>7</v>
      </c>
      <c r="E6" s="25">
        <v>500</v>
      </c>
      <c r="F6" s="26">
        <v>8</v>
      </c>
      <c r="G6" s="27">
        <f>ROUND(F6*E6,2)</f>
        <v>4000</v>
      </c>
      <c r="I6" s="28"/>
      <c r="J6" s="28"/>
    </row>
    <row r="7" spans="2:11" hidden="1" outlineLevel="1" x14ac:dyDescent="0.25">
      <c r="B7" s="22" t="s">
        <v>8</v>
      </c>
      <c r="C7" s="23" t="s">
        <v>9</v>
      </c>
      <c r="D7" s="24" t="s">
        <v>7</v>
      </c>
      <c r="E7" s="25"/>
      <c r="F7" s="26"/>
      <c r="G7" s="27">
        <f>ROUND(F7*E7,2)</f>
        <v>0</v>
      </c>
    </row>
    <row r="8" spans="2:11" s="21" customFormat="1" collapsed="1" x14ac:dyDescent="0.25">
      <c r="B8" s="15" t="s">
        <v>10</v>
      </c>
      <c r="C8" s="16" t="s">
        <v>11</v>
      </c>
      <c r="D8" s="17"/>
      <c r="E8" s="25"/>
      <c r="F8" s="19"/>
      <c r="G8" s="20"/>
      <c r="H8"/>
    </row>
    <row r="9" spans="2:11" x14ac:dyDescent="0.25">
      <c r="B9" s="22" t="s">
        <v>12</v>
      </c>
      <c r="C9" s="23" t="s">
        <v>13</v>
      </c>
      <c r="D9" s="24" t="s">
        <v>7</v>
      </c>
      <c r="E9" s="25">
        <v>20</v>
      </c>
      <c r="F9" s="26">
        <v>10</v>
      </c>
      <c r="G9" s="27">
        <f>ROUND(F9*E9,2)</f>
        <v>200</v>
      </c>
    </row>
    <row r="10" spans="2:11" hidden="1" outlineLevel="1" x14ac:dyDescent="0.25">
      <c r="B10" s="22" t="s">
        <v>14</v>
      </c>
      <c r="C10" s="23" t="s">
        <v>15</v>
      </c>
      <c r="D10" s="24" t="s">
        <v>7</v>
      </c>
      <c r="E10" s="25"/>
      <c r="F10" s="26"/>
      <c r="G10" s="27">
        <f>ROUND(F10*E10,2)</f>
        <v>0</v>
      </c>
    </row>
    <row r="11" spans="2:11" ht="30" collapsed="1" x14ac:dyDescent="0.25">
      <c r="B11" s="15">
        <v>2</v>
      </c>
      <c r="C11" s="16" t="s">
        <v>16</v>
      </c>
      <c r="D11" s="17"/>
      <c r="E11" s="25"/>
      <c r="F11" s="19"/>
      <c r="G11" s="20"/>
      <c r="K11" s="29"/>
    </row>
    <row r="12" spans="2:11" ht="198" customHeight="1" x14ac:dyDescent="0.25">
      <c r="B12" s="30" t="s">
        <v>17</v>
      </c>
      <c r="C12" s="31" t="s">
        <v>18</v>
      </c>
      <c r="D12" s="32" t="s">
        <v>19</v>
      </c>
      <c r="E12" s="25">
        <v>10</v>
      </c>
      <c r="F12" s="26">
        <v>300</v>
      </c>
      <c r="G12" s="27">
        <f>ROUND(F12*E12,2)</f>
        <v>3000</v>
      </c>
    </row>
    <row r="13" spans="2:11" ht="135" x14ac:dyDescent="0.25">
      <c r="B13" s="30" t="s">
        <v>20</v>
      </c>
      <c r="C13" s="31" t="s">
        <v>21</v>
      </c>
      <c r="D13" s="32" t="s">
        <v>19</v>
      </c>
      <c r="E13" s="25">
        <v>10</v>
      </c>
      <c r="F13" s="26">
        <v>350</v>
      </c>
      <c r="G13" s="27">
        <f>ROUND(F13*E13,2)</f>
        <v>3500</v>
      </c>
    </row>
    <row r="14" spans="2:11" x14ac:dyDescent="0.25">
      <c r="B14" s="15">
        <v>3</v>
      </c>
      <c r="C14" s="33" t="s">
        <v>22</v>
      </c>
      <c r="D14" s="32"/>
      <c r="E14" s="25"/>
      <c r="F14" s="26"/>
      <c r="G14" s="20"/>
    </row>
    <row r="15" spans="2:11" ht="30" x14ac:dyDescent="0.25">
      <c r="B15" s="34">
        <v>3.1</v>
      </c>
      <c r="C15" s="35" t="s">
        <v>23</v>
      </c>
      <c r="D15" s="36" t="s">
        <v>24</v>
      </c>
      <c r="E15" s="37">
        <v>2</v>
      </c>
      <c r="F15" s="26">
        <v>1000</v>
      </c>
      <c r="G15" s="38">
        <f>E15*F15</f>
        <v>2000</v>
      </c>
    </row>
    <row r="16" spans="2:11" ht="15.75" thickBot="1" x14ac:dyDescent="0.3">
      <c r="B16" s="39">
        <v>3.2</v>
      </c>
      <c r="C16" s="40" t="s">
        <v>25</v>
      </c>
      <c r="D16" s="41" t="s">
        <v>24</v>
      </c>
      <c r="E16" s="42">
        <v>10</v>
      </c>
      <c r="F16" s="43">
        <v>2500</v>
      </c>
      <c r="G16" s="44">
        <f>ROUND(F16*E16,2)</f>
        <v>25000</v>
      </c>
    </row>
    <row r="17" spans="3:3" ht="60" customHeight="1" x14ac:dyDescent="0.25"/>
    <row r="20" spans="3:3" x14ac:dyDescent="0.25">
      <c r="C20" t="s">
        <v>26</v>
      </c>
    </row>
  </sheetData>
  <mergeCells count="2">
    <mergeCell ref="B1:G1"/>
    <mergeCell ref="D2:F2"/>
  </mergeCells>
  <pageMargins left="0.70866141732283505" right="0.70866141732283505" top="0.74803149606299202" bottom="0.74803149606299202" header="0.31496062992126" footer="0.31496062992126"/>
  <pageSetup paperSize="9" scale="94" firstPageNumber="23" fitToHeight="0" orientation="portrait" useFirstPageNumber="1" r:id="rId1"/>
  <headerFooter>
    <oddHeader>&amp;LSection IV. Bidding Forms&amp;CBill of Quantities LOT 2A&amp;R&amp;P</oddHeader>
    <oddFooter>&amp;LRural Ajara Programme LOT2 (ICB - 505 447)&amp;RBidding Documents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WWSP</vt:lpstr>
      <vt:lpstr>WWSP!Print_Area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Irakli Gogichaishvili</dc:creator>
  <cp:lastModifiedBy>Irakli Gogichaishvili</cp:lastModifiedBy>
  <dcterms:created xsi:type="dcterms:W3CDTF">2025-10-02T07:04:35Z</dcterms:created>
  <dcterms:modified xsi:type="dcterms:W3CDTF">2025-10-02T07:05:27Z</dcterms:modified>
</cp:coreProperties>
</file>